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f3d77d75c73bba5/Desktop/Pharmint/backtesting/"/>
    </mc:Choice>
  </mc:AlternateContent>
  <xr:revisionPtr revIDLastSave="4" documentId="11_DE53EB2197A27387A6B7C9A6335205CDED89A1F8" xr6:coauthVersionLast="47" xr6:coauthVersionMax="47" xr10:uidLastSave="{4080DAFD-81F4-47F5-A410-BB0BDAD1A64F}"/>
  <bookViews>
    <workbookView minimized="1" xWindow="2892" yWindow="2892" windowWidth="17280" windowHeight="8880" activeTab="3" xr2:uid="{00000000-000D-0000-FFFF-FFFF00000000}"/>
  </bookViews>
  <sheets>
    <sheet name="Stability Summary" sheetId="1" r:id="rId1"/>
    <sheet name="MASE" sheetId="2" r:id="rId2"/>
    <sheet name="RMSE (log)" sheetId="3" r:id="rId3"/>
    <sheet name="RMSE (count)" sheetId="4" r:id="rId4"/>
    <sheet name="Raw" sheetId="5" r:id="rId5"/>
  </sheets>
  <calcPr calcId="0"/>
</workbook>
</file>

<file path=xl/sharedStrings.xml><?xml version="1.0" encoding="utf-8"?>
<sst xmlns="http://schemas.openxmlformats.org/spreadsheetml/2006/main" count="134" uniqueCount="32">
  <si>
    <t>Model</t>
  </si>
  <si>
    <t>Windows with a score</t>
  </si>
  <si>
    <t>MASE CV %</t>
  </si>
  <si>
    <t>RMSE (log scale) CV %</t>
  </si>
  <si>
    <t>RMSE (count scale) CV %</t>
  </si>
  <si>
    <t>Model F (GMM+XGB residual)</t>
  </si>
  <si>
    <t>Model C (PPML)</t>
  </si>
  <si>
    <t>Model G (GMM+XGB+LGBM ensemble)</t>
  </si>
  <si>
    <t>Model D (AB-GMM)</t>
  </si>
  <si>
    <t>AR(1)</t>
  </si>
  <si>
    <t>Model B</t>
  </si>
  <si>
    <t>model_ab (rest)</t>
  </si>
  <si>
    <t>model_ensemble (rest)</t>
  </si>
  <si>
    <t>9mo</t>
  </si>
  <si>
    <t>12mo</t>
  </si>
  <si>
    <t>15mo</t>
  </si>
  <si>
    <t>18mo</t>
  </si>
  <si>
    <t>20mo</t>
  </si>
  <si>
    <t>Mean</t>
  </si>
  <si>
    <t>Std Dev</t>
  </si>
  <si>
    <t>CV %</t>
  </si>
  <si>
    <t>Range</t>
  </si>
  <si>
    <t>Training window (months)</t>
  </si>
  <si>
    <t>MASE</t>
  </si>
  <si>
    <t>RMSE (log scale)</t>
  </si>
  <si>
    <t>RMSE (count scale)</t>
  </si>
  <si>
    <t>Mean signed error</t>
  </si>
  <si>
    <t>Total forecast error %</t>
  </si>
  <si>
    <t>Date run</t>
  </si>
  <si>
    <t>Notes</t>
  </si>
  <si>
    <t>failed: regressors [exog endog] do not have full column rank</t>
  </si>
  <si>
    <t>2026-09-02 14:51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</si>
</sst>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E3" sqref="E3"/>
    </sheetView>
  </sheetViews>
  <sheetFormatPr defaultRowHeight="14.4" x14ac:dyDescent="0.3"/>
  <cols>
    <col min="1" max="1" width="33" bestFit="1" customWidth="1"/>
    <col min="2" max="2" width="19.109375" bestFit="1" customWidth="1"/>
    <col min="3" max="3" width="12" bestFit="1" customWidth="1"/>
    <col min="4" max="4" width="19" bestFit="1" customWidth="1"/>
    <col min="5" max="5" width="21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</v>
      </c>
      <c r="C2">
        <v>7.7672287855885296</v>
      </c>
      <c r="D2">
        <v>6.9059069469284271</v>
      </c>
      <c r="E2">
        <v>18.428380268838598</v>
      </c>
    </row>
    <row r="3" spans="1:5" x14ac:dyDescent="0.3">
      <c r="A3" t="s">
        <v>6</v>
      </c>
      <c r="B3">
        <v>5</v>
      </c>
      <c r="C3">
        <v>8.0545170875080903</v>
      </c>
      <c r="D3">
        <v>7.2166018038427868</v>
      </c>
      <c r="E3">
        <v>20.639094404904071</v>
      </c>
    </row>
    <row r="4" spans="1:5" x14ac:dyDescent="0.3">
      <c r="A4" t="s">
        <v>7</v>
      </c>
      <c r="B4">
        <v>5</v>
      </c>
      <c r="C4">
        <v>8.4532450514421384</v>
      </c>
      <c r="D4">
        <v>5.2970353975734703</v>
      </c>
      <c r="E4">
        <v>16.654369416901162</v>
      </c>
    </row>
    <row r="5" spans="1:5" x14ac:dyDescent="0.3">
      <c r="A5" t="s">
        <v>8</v>
      </c>
      <c r="B5">
        <v>5</v>
      </c>
      <c r="C5">
        <v>9.143729544524307</v>
      </c>
      <c r="D5">
        <v>7.1121115378320274</v>
      </c>
      <c r="E5">
        <v>20.134289875929049</v>
      </c>
    </row>
    <row r="6" spans="1:5" x14ac:dyDescent="0.3">
      <c r="A6" t="s">
        <v>9</v>
      </c>
      <c r="B6">
        <v>5</v>
      </c>
      <c r="C6">
        <v>9.2378023997079968</v>
      </c>
      <c r="D6">
        <v>5.8905823995780002</v>
      </c>
      <c r="E6">
        <v>20.982464319378671</v>
      </c>
    </row>
    <row r="7" spans="1:5" x14ac:dyDescent="0.3">
      <c r="A7" t="s">
        <v>10</v>
      </c>
      <c r="B7">
        <v>5</v>
      </c>
      <c r="C7">
        <v>11.0512784160041</v>
      </c>
      <c r="D7">
        <v>6.1197513038590383</v>
      </c>
      <c r="E7">
        <v>22.398685005813579</v>
      </c>
    </row>
    <row r="8" spans="1:5" x14ac:dyDescent="0.3">
      <c r="A8" t="s">
        <v>11</v>
      </c>
      <c r="B8">
        <v>0</v>
      </c>
    </row>
    <row r="9" spans="1:5" x14ac:dyDescent="0.3">
      <c r="A9" t="s">
        <v>12</v>
      </c>
      <c r="B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D2" sqref="D2:D7"/>
    </sheetView>
  </sheetViews>
  <sheetFormatPr defaultRowHeight="14.4" x14ac:dyDescent="0.3"/>
  <cols>
    <col min="1" max="1" width="33" bestFit="1" customWidth="1"/>
    <col min="2" max="10" width="12" bestFit="1" customWidth="1"/>
  </cols>
  <sheetData>
    <row r="1" spans="1:10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3">
      <c r="A2" t="s">
        <v>9</v>
      </c>
      <c r="B2">
        <v>0.90928293138202965</v>
      </c>
      <c r="C2">
        <v>0.87204401834464496</v>
      </c>
      <c r="D2">
        <v>1.033740487269982</v>
      </c>
      <c r="E2">
        <v>0.81585444275911445</v>
      </c>
      <c r="F2">
        <v>0.85866749155986533</v>
      </c>
      <c r="G2">
        <v>0.8979178742631273</v>
      </c>
      <c r="H2">
        <v>8.2947878936086211E-2</v>
      </c>
      <c r="I2">
        <v>9.2378023997079968</v>
      </c>
      <c r="J2">
        <v>0.2178860445108676</v>
      </c>
    </row>
    <row r="3" spans="1:10" x14ac:dyDescent="0.3">
      <c r="A3" t="s">
        <v>10</v>
      </c>
      <c r="B3">
        <v>0.93438438247884537</v>
      </c>
      <c r="C3">
        <v>0.9031058031158602</v>
      </c>
      <c r="D3">
        <v>1.058360697723036</v>
      </c>
      <c r="E3">
        <v>0.80926061543416583</v>
      </c>
      <c r="F3">
        <v>0.8241444734041361</v>
      </c>
      <c r="G3">
        <v>0.90585119443120876</v>
      </c>
      <c r="H3">
        <v>0.1001081375312915</v>
      </c>
      <c r="I3">
        <v>11.0512784160041</v>
      </c>
      <c r="J3">
        <v>0.24910008228887021</v>
      </c>
    </row>
    <row r="4" spans="1:10" x14ac:dyDescent="0.3">
      <c r="A4" t="s">
        <v>6</v>
      </c>
      <c r="B4">
        <v>0.89785379377953145</v>
      </c>
      <c r="C4">
        <v>0.87669668965802772</v>
      </c>
      <c r="D4">
        <v>1.0137678266077821</v>
      </c>
      <c r="E4">
        <v>0.82549395555171523</v>
      </c>
      <c r="F4">
        <v>0.85667500225909565</v>
      </c>
      <c r="G4">
        <v>0.89409745357123038</v>
      </c>
      <c r="H4">
        <v>7.2015232176869476E-2</v>
      </c>
      <c r="I4">
        <v>8.054517087508092</v>
      </c>
      <c r="J4">
        <v>0.18827387105606691</v>
      </c>
    </row>
    <row r="5" spans="1:10" x14ac:dyDescent="0.3">
      <c r="A5" t="s">
        <v>8</v>
      </c>
      <c r="B5">
        <v>0.83851664508279589</v>
      </c>
      <c r="C5">
        <v>0.85226124923284563</v>
      </c>
      <c r="D5">
        <v>1.0171230570191629</v>
      </c>
      <c r="E5">
        <v>0.81242321289299491</v>
      </c>
      <c r="F5">
        <v>0.87702225889743801</v>
      </c>
      <c r="G5">
        <v>0.87946928462504737</v>
      </c>
      <c r="H5">
        <v>8.0416292813277029E-2</v>
      </c>
      <c r="I5">
        <v>9.143729544524307</v>
      </c>
      <c r="J5">
        <v>0.2046998441261676</v>
      </c>
    </row>
    <row r="6" spans="1:10" x14ac:dyDescent="0.3">
      <c r="A6" t="s">
        <v>5</v>
      </c>
      <c r="B6">
        <v>0.87149963883950377</v>
      </c>
      <c r="C6">
        <v>0.88289328933046307</v>
      </c>
      <c r="D6">
        <v>1.008988366489433</v>
      </c>
      <c r="E6">
        <v>0.82005653487644947</v>
      </c>
      <c r="F6">
        <v>0.89095248319063503</v>
      </c>
      <c r="G6">
        <v>0.89487806254529689</v>
      </c>
      <c r="H6">
        <v>6.9507226469935235E-2</v>
      </c>
      <c r="I6">
        <v>7.7672287855885296</v>
      </c>
      <c r="J6">
        <v>0.1889318316129831</v>
      </c>
    </row>
    <row r="7" spans="1:10" x14ac:dyDescent="0.3">
      <c r="A7" t="s">
        <v>7</v>
      </c>
      <c r="B7">
        <v>0.8341721929405671</v>
      </c>
      <c r="C7">
        <v>0.85704360504381372</v>
      </c>
      <c r="D7">
        <v>0.95122924659914876</v>
      </c>
      <c r="E7">
        <v>0.75644996097905104</v>
      </c>
      <c r="F7">
        <v>0.81441515150876798</v>
      </c>
      <c r="G7">
        <v>0.84266203141426976</v>
      </c>
      <c r="H7">
        <v>7.1232286470908554E-2</v>
      </c>
      <c r="I7">
        <v>8.4532450514421384</v>
      </c>
      <c r="J7">
        <v>0.19477928562009769</v>
      </c>
    </row>
  </sheetData>
  <conditionalFormatting sqref="B2:F7">
    <cfRule type="colorScale" priority="1">
      <colorScale>
        <cfvo type="min"/>
        <cfvo type="max"/>
        <color rgb="FF63BE7B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C6" sqref="C6"/>
    </sheetView>
  </sheetViews>
  <sheetFormatPr defaultRowHeight="14.4" x14ac:dyDescent="0.3"/>
  <sheetData>
    <row r="1" spans="1:10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3">
      <c r="A2" t="s">
        <v>9</v>
      </c>
      <c r="B2">
        <v>0.61147509032702241</v>
      </c>
      <c r="C2">
        <v>0.57305974919067204</v>
      </c>
      <c r="D2">
        <v>0.57463546187925729</v>
      </c>
      <c r="E2">
        <v>0.64305687467291861</v>
      </c>
      <c r="F2">
        <v>0.64815427672433612</v>
      </c>
      <c r="G2">
        <v>0.61007629055884138</v>
      </c>
      <c r="H2">
        <v>3.5937046595657447E-2</v>
      </c>
      <c r="I2">
        <v>5.8905823995780002</v>
      </c>
      <c r="J2">
        <v>7.5094527533664079E-2</v>
      </c>
    </row>
    <row r="3" spans="1:10" x14ac:dyDescent="0.3">
      <c r="A3" t="s">
        <v>10</v>
      </c>
      <c r="B3">
        <v>0.6012328201498307</v>
      </c>
      <c r="C3">
        <v>0.52031622275708278</v>
      </c>
      <c r="D3">
        <v>0.53425369954275581</v>
      </c>
      <c r="E3">
        <v>0.57660541547816646</v>
      </c>
      <c r="F3">
        <v>0.58445298800064149</v>
      </c>
      <c r="G3">
        <v>0.56337222918569541</v>
      </c>
      <c r="H3">
        <v>3.4476979341171332E-2</v>
      </c>
      <c r="I3">
        <v>6.1197513038590383</v>
      </c>
      <c r="J3">
        <v>8.0916597392747924E-2</v>
      </c>
    </row>
    <row r="4" spans="1:10" x14ac:dyDescent="0.3">
      <c r="A4" t="s">
        <v>6</v>
      </c>
      <c r="B4">
        <v>0.60345935348611435</v>
      </c>
      <c r="C4">
        <v>0.58050596351786832</v>
      </c>
      <c r="D4">
        <v>0.5685476240243259</v>
      </c>
      <c r="E4">
        <v>0.65356273071149773</v>
      </c>
      <c r="F4">
        <v>0.66895661933367923</v>
      </c>
      <c r="G4">
        <v>0.61500645821469713</v>
      </c>
      <c r="H4">
        <v>4.4382567157271458E-2</v>
      </c>
      <c r="I4">
        <v>7.2166018038427868</v>
      </c>
      <c r="J4">
        <v>0.10040899530935329</v>
      </c>
    </row>
    <row r="5" spans="1:10" x14ac:dyDescent="0.3">
      <c r="A5" t="s">
        <v>8</v>
      </c>
      <c r="B5">
        <v>0.58961716097357875</v>
      </c>
      <c r="C5">
        <v>0.56273133731590919</v>
      </c>
      <c r="D5">
        <v>0.56776311590583095</v>
      </c>
      <c r="E5">
        <v>0.64064561340498483</v>
      </c>
      <c r="F5">
        <v>0.65696405026911753</v>
      </c>
      <c r="G5">
        <v>0.60354425557388425</v>
      </c>
      <c r="H5">
        <v>4.2924740636592643E-2</v>
      </c>
      <c r="I5">
        <v>7.1121115378320274</v>
      </c>
      <c r="J5">
        <v>9.4232712953208342E-2</v>
      </c>
    </row>
    <row r="6" spans="1:10" x14ac:dyDescent="0.3">
      <c r="A6" t="s">
        <v>5</v>
      </c>
      <c r="B6">
        <v>0.59741107843978447</v>
      </c>
      <c r="C6">
        <v>0.56426035575050004</v>
      </c>
      <c r="D6">
        <v>0.57249750076151618</v>
      </c>
      <c r="E6">
        <v>0.64564311061641988</v>
      </c>
      <c r="F6">
        <v>0.65631425874632299</v>
      </c>
      <c r="G6">
        <v>0.60722526086290873</v>
      </c>
      <c r="H6">
        <v>4.1934411473435879E-2</v>
      </c>
      <c r="I6">
        <v>6.9059069469284271</v>
      </c>
      <c r="J6">
        <v>9.2053902995822945E-2</v>
      </c>
    </row>
    <row r="7" spans="1:10" x14ac:dyDescent="0.3">
      <c r="A7" t="s">
        <v>7</v>
      </c>
      <c r="B7">
        <v>0.58809653492500602</v>
      </c>
      <c r="C7">
        <v>0.54695969884877227</v>
      </c>
      <c r="D7">
        <v>0.55116787864590955</v>
      </c>
      <c r="E7">
        <v>0.61455097295868599</v>
      </c>
      <c r="F7">
        <v>0.60477750742876213</v>
      </c>
      <c r="G7">
        <v>0.58111051856142715</v>
      </c>
      <c r="H7">
        <v>3.0781629867221549E-2</v>
      </c>
      <c r="I7">
        <v>5.2970353975734703</v>
      </c>
      <c r="J7">
        <v>6.7591274109913724E-2</v>
      </c>
    </row>
  </sheetData>
  <conditionalFormatting sqref="B2:F7">
    <cfRule type="colorScale" priority="1">
      <colorScale>
        <cfvo type="min"/>
        <cfvo type="max"/>
        <color rgb="FF63BE7B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tabSelected="1" workbookViewId="0">
      <selection activeCell="G5" sqref="G5"/>
    </sheetView>
  </sheetViews>
  <sheetFormatPr defaultRowHeight="14.4" x14ac:dyDescent="0.3"/>
  <cols>
    <col min="1" max="1" width="33" bestFit="1" customWidth="1"/>
    <col min="2" max="10" width="12" bestFit="1" customWidth="1"/>
  </cols>
  <sheetData>
    <row r="1" spans="1:10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3">
      <c r="A2" t="s">
        <v>9</v>
      </c>
      <c r="B2">
        <v>20.800267567011979</v>
      </c>
      <c r="C2">
        <v>20.307755014711951</v>
      </c>
      <c r="D2">
        <v>27.386069738411418</v>
      </c>
      <c r="E2">
        <v>18.186772212439781</v>
      </c>
      <c r="F2">
        <v>15.893412213550979</v>
      </c>
      <c r="G2">
        <v>20.514855349225218</v>
      </c>
      <c r="H2">
        <v>4.3045222038233284</v>
      </c>
      <c r="I2">
        <v>20.982464319378671</v>
      </c>
      <c r="J2">
        <v>11.49265752486043</v>
      </c>
    </row>
    <row r="3" spans="1:10" x14ac:dyDescent="0.3">
      <c r="A3" t="s">
        <v>10</v>
      </c>
      <c r="B3">
        <v>25.912321713325088</v>
      </c>
      <c r="C3">
        <v>24.954043462327729</v>
      </c>
      <c r="D3">
        <v>32.979171911654667</v>
      </c>
      <c r="E3">
        <v>21.71599294989548</v>
      </c>
      <c r="F3">
        <v>18.085874120842181</v>
      </c>
      <c r="G3">
        <v>24.729480831609031</v>
      </c>
      <c r="H3">
        <v>5.5390785150451558</v>
      </c>
      <c r="I3">
        <v>22.398685005813579</v>
      </c>
      <c r="J3">
        <v>14.89329779081249</v>
      </c>
    </row>
    <row r="4" spans="1:10" x14ac:dyDescent="0.3">
      <c r="A4" t="s">
        <v>6</v>
      </c>
      <c r="B4">
        <v>20.53471337356499</v>
      </c>
      <c r="C4">
        <v>20.280264107957549</v>
      </c>
      <c r="D4">
        <v>27.005080315199329</v>
      </c>
      <c r="E4">
        <v>18.444788318544578</v>
      </c>
      <c r="F4">
        <v>15.581507250209841</v>
      </c>
      <c r="G4">
        <v>20.369270673095262</v>
      </c>
      <c r="H4">
        <v>4.2040330038105704</v>
      </c>
      <c r="I4">
        <v>20.639094404904071</v>
      </c>
      <c r="J4">
        <v>11.42357306498949</v>
      </c>
    </row>
    <row r="5" spans="1:10" x14ac:dyDescent="0.3">
      <c r="A5" t="s">
        <v>8</v>
      </c>
      <c r="B5">
        <v>19.273300265128341</v>
      </c>
      <c r="C5">
        <v>19.97597832427784</v>
      </c>
      <c r="D5">
        <v>26.89255927397242</v>
      </c>
      <c r="E5">
        <v>18.12481289774184</v>
      </c>
      <c r="F5">
        <v>16.253018182808191</v>
      </c>
      <c r="G5">
        <v>20.103933788785731</v>
      </c>
      <c r="H5">
        <v>4.0477843054989631</v>
      </c>
      <c r="I5">
        <v>20.134289875929049</v>
      </c>
      <c r="J5">
        <v>10.639541091164229</v>
      </c>
    </row>
    <row r="6" spans="1:10" x14ac:dyDescent="0.3">
      <c r="A6" t="s">
        <v>5</v>
      </c>
      <c r="B6">
        <v>19.918420498698261</v>
      </c>
      <c r="C6">
        <v>20.938226433241571</v>
      </c>
      <c r="D6">
        <v>26.571085477777501</v>
      </c>
      <c r="E6">
        <v>18.552682520196139</v>
      </c>
      <c r="F6">
        <v>16.512588641936649</v>
      </c>
      <c r="G6">
        <v>20.498600714370021</v>
      </c>
      <c r="H6">
        <v>3.777560089434973</v>
      </c>
      <c r="I6">
        <v>18.428380268838598</v>
      </c>
      <c r="J6">
        <v>10.05849683584086</v>
      </c>
    </row>
    <row r="7" spans="1:10" x14ac:dyDescent="0.3">
      <c r="A7" t="s">
        <v>7</v>
      </c>
      <c r="B7">
        <v>19.08253938452221</v>
      </c>
      <c r="C7">
        <v>22.302203483332391</v>
      </c>
      <c r="D7">
        <v>25.182045922213529</v>
      </c>
      <c r="E7">
        <v>17.711968544483781</v>
      </c>
      <c r="F7">
        <v>17.190438953302319</v>
      </c>
      <c r="G7">
        <v>20.293839257570848</v>
      </c>
      <c r="H7">
        <v>3.379810958827961</v>
      </c>
      <c r="I7">
        <v>16.654369416901162</v>
      </c>
      <c r="J7">
        <v>7.9916069689112126</v>
      </c>
    </row>
  </sheetData>
  <conditionalFormatting sqref="B2:F7">
    <cfRule type="colorScale" priority="1">
      <colorScale>
        <cfvo type="min"/>
        <cfvo type="max"/>
        <color rgb="FF63BE7B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workbookViewId="0"/>
  </sheetViews>
  <sheetFormatPr defaultRowHeight="14.4" x14ac:dyDescent="0.3"/>
  <sheetData>
    <row r="1" spans="1:9" x14ac:dyDescent="0.3">
      <c r="A1" t="s">
        <v>22</v>
      </c>
      <c r="B1" t="s">
        <v>0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3">
      <c r="A2">
        <v>6</v>
      </c>
      <c r="B2" t="s">
        <v>11</v>
      </c>
      <c r="I2" t="s">
        <v>30</v>
      </c>
    </row>
    <row r="3" spans="1:9" x14ac:dyDescent="0.3">
      <c r="A3">
        <v>6</v>
      </c>
      <c r="B3" t="s">
        <v>12</v>
      </c>
      <c r="I3" t="s">
        <v>30</v>
      </c>
    </row>
    <row r="4" spans="1:9" x14ac:dyDescent="0.3">
      <c r="A4">
        <v>9</v>
      </c>
      <c r="B4" t="s">
        <v>9</v>
      </c>
      <c r="C4">
        <v>0.90928293138202965</v>
      </c>
      <c r="D4">
        <v>0.61147509032702241</v>
      </c>
      <c r="E4">
        <v>20.800267567011979</v>
      </c>
      <c r="H4" t="s">
        <v>31</v>
      </c>
    </row>
    <row r="5" spans="1:9" x14ac:dyDescent="0.3">
      <c r="A5">
        <v>9</v>
      </c>
      <c r="B5" t="s">
        <v>10</v>
      </c>
      <c r="C5">
        <v>0.93438438247884537</v>
      </c>
      <c r="D5">
        <v>0.6012328201498307</v>
      </c>
      <c r="E5">
        <v>25.912321713325088</v>
      </c>
      <c r="H5" t="s">
        <v>31</v>
      </c>
    </row>
    <row r="6" spans="1:9" x14ac:dyDescent="0.3">
      <c r="A6">
        <v>9</v>
      </c>
      <c r="B6" t="s">
        <v>6</v>
      </c>
      <c r="C6">
        <v>0.89785379377953145</v>
      </c>
      <c r="D6">
        <v>0.60345935348611435</v>
      </c>
      <c r="E6">
        <v>20.53471337356499</v>
      </c>
      <c r="F6">
        <v>-4.014232664135716</v>
      </c>
      <c r="G6">
        <v>-6.7872149831963489</v>
      </c>
      <c r="H6" t="s">
        <v>31</v>
      </c>
    </row>
    <row r="7" spans="1:9" x14ac:dyDescent="0.3">
      <c r="A7">
        <v>9</v>
      </c>
      <c r="B7" t="s">
        <v>8</v>
      </c>
      <c r="C7">
        <v>0.83851664508279589</v>
      </c>
      <c r="D7">
        <v>0.58961716097357875</v>
      </c>
      <c r="E7">
        <v>19.273300265128341</v>
      </c>
      <c r="H7" t="s">
        <v>31</v>
      </c>
    </row>
    <row r="8" spans="1:9" x14ac:dyDescent="0.3">
      <c r="A8">
        <v>9</v>
      </c>
      <c r="B8" t="s">
        <v>5</v>
      </c>
      <c r="C8">
        <v>0.87149963883950377</v>
      </c>
      <c r="D8">
        <v>0.59741107843978447</v>
      </c>
      <c r="E8">
        <v>19.918420498698261</v>
      </c>
      <c r="F8">
        <v>-4.3920427328832607</v>
      </c>
      <c r="G8">
        <v>-7.4260115786990788</v>
      </c>
      <c r="H8" t="s">
        <v>31</v>
      </c>
    </row>
    <row r="9" spans="1:9" x14ac:dyDescent="0.3">
      <c r="A9">
        <v>9</v>
      </c>
      <c r="B9" t="s">
        <v>7</v>
      </c>
      <c r="C9">
        <v>0.8341721929405671</v>
      </c>
      <c r="D9">
        <v>0.58809653492500602</v>
      </c>
      <c r="E9">
        <v>19.08253938452221</v>
      </c>
      <c r="F9">
        <v>-3.737768441751292</v>
      </c>
      <c r="G9">
        <v>-6.3197726923571098</v>
      </c>
      <c r="H9" t="s">
        <v>31</v>
      </c>
    </row>
    <row r="10" spans="1:9" x14ac:dyDescent="0.3">
      <c r="A10">
        <v>12</v>
      </c>
      <c r="B10" t="s">
        <v>9</v>
      </c>
      <c r="C10">
        <v>0.87204401834464496</v>
      </c>
      <c r="D10">
        <v>0.57305974919067204</v>
      </c>
      <c r="E10">
        <v>20.307755014711951</v>
      </c>
      <c r="H10" t="s">
        <v>31</v>
      </c>
    </row>
    <row r="11" spans="1:9" x14ac:dyDescent="0.3">
      <c r="A11">
        <v>12</v>
      </c>
      <c r="B11" t="s">
        <v>10</v>
      </c>
      <c r="C11">
        <v>0.9031058031158602</v>
      </c>
      <c r="D11">
        <v>0.52031622275708278</v>
      </c>
      <c r="E11">
        <v>24.954043462327729</v>
      </c>
      <c r="H11" t="s">
        <v>31</v>
      </c>
    </row>
    <row r="12" spans="1:9" x14ac:dyDescent="0.3">
      <c r="A12">
        <v>12</v>
      </c>
      <c r="B12" t="s">
        <v>6</v>
      </c>
      <c r="C12">
        <v>0.87669668965802772</v>
      </c>
      <c r="D12">
        <v>0.58050596351786832</v>
      </c>
      <c r="E12">
        <v>20.280264107957549</v>
      </c>
      <c r="F12">
        <v>0.5369734104012106</v>
      </c>
      <c r="G12">
        <v>0.98203268546468636</v>
      </c>
      <c r="H12" t="s">
        <v>31</v>
      </c>
    </row>
    <row r="13" spans="1:9" x14ac:dyDescent="0.3">
      <c r="A13">
        <v>12</v>
      </c>
      <c r="B13" t="s">
        <v>8</v>
      </c>
      <c r="C13">
        <v>0.85226124923284563</v>
      </c>
      <c r="D13">
        <v>0.56273133731590919</v>
      </c>
      <c r="E13">
        <v>19.97597832427784</v>
      </c>
      <c r="H13" t="s">
        <v>31</v>
      </c>
    </row>
    <row r="14" spans="1:9" x14ac:dyDescent="0.3">
      <c r="A14">
        <v>12</v>
      </c>
      <c r="B14" t="s">
        <v>5</v>
      </c>
      <c r="C14">
        <v>0.88289328933046307</v>
      </c>
      <c r="D14">
        <v>0.56426035575050004</v>
      </c>
      <c r="E14">
        <v>20.938226433241571</v>
      </c>
      <c r="F14">
        <v>-0.88446738512346912</v>
      </c>
      <c r="G14">
        <v>-1.617539834551148</v>
      </c>
      <c r="H14" t="s">
        <v>31</v>
      </c>
    </row>
    <row r="15" spans="1:9" x14ac:dyDescent="0.3">
      <c r="A15">
        <v>12</v>
      </c>
      <c r="B15" t="s">
        <v>7</v>
      </c>
      <c r="C15">
        <v>0.85704360504381372</v>
      </c>
      <c r="D15">
        <v>0.54695969884877227</v>
      </c>
      <c r="E15">
        <v>22.302203483332391</v>
      </c>
      <c r="F15">
        <v>-2.3788571225239532</v>
      </c>
      <c r="G15">
        <v>-4.3505235140480254</v>
      </c>
      <c r="H15" t="s">
        <v>31</v>
      </c>
    </row>
    <row r="16" spans="1:9" x14ac:dyDescent="0.3">
      <c r="A16">
        <v>15</v>
      </c>
      <c r="B16" t="s">
        <v>9</v>
      </c>
      <c r="C16">
        <v>1.033740487269982</v>
      </c>
      <c r="D16">
        <v>0.57463546187925729</v>
      </c>
      <c r="E16">
        <v>27.386069738411418</v>
      </c>
      <c r="H16" t="s">
        <v>31</v>
      </c>
    </row>
    <row r="17" spans="1:8" x14ac:dyDescent="0.3">
      <c r="A17">
        <v>15</v>
      </c>
      <c r="B17" t="s">
        <v>10</v>
      </c>
      <c r="C17">
        <v>1.058360697723036</v>
      </c>
      <c r="D17">
        <v>0.53425369954275581</v>
      </c>
      <c r="E17">
        <v>32.979171911654667</v>
      </c>
      <c r="H17" t="s">
        <v>31</v>
      </c>
    </row>
    <row r="18" spans="1:8" x14ac:dyDescent="0.3">
      <c r="A18">
        <v>15</v>
      </c>
      <c r="B18" t="s">
        <v>6</v>
      </c>
      <c r="C18">
        <v>1.0137678266077821</v>
      </c>
      <c r="D18">
        <v>0.5685476240243259</v>
      </c>
      <c r="E18">
        <v>27.005080315199329</v>
      </c>
      <c r="F18">
        <v>-4.3632928502954833</v>
      </c>
      <c r="G18">
        <v>-7.5339951504231886</v>
      </c>
      <c r="H18" t="s">
        <v>31</v>
      </c>
    </row>
    <row r="19" spans="1:8" x14ac:dyDescent="0.3">
      <c r="A19">
        <v>15</v>
      </c>
      <c r="B19" t="s">
        <v>8</v>
      </c>
      <c r="C19">
        <v>1.0171230570191629</v>
      </c>
      <c r="D19">
        <v>0.56776311590583095</v>
      </c>
      <c r="E19">
        <v>26.89255927397242</v>
      </c>
      <c r="H19" t="s">
        <v>31</v>
      </c>
    </row>
    <row r="20" spans="1:8" x14ac:dyDescent="0.3">
      <c r="A20">
        <v>15</v>
      </c>
      <c r="B20" t="s">
        <v>5</v>
      </c>
      <c r="C20">
        <v>1.008988366489433</v>
      </c>
      <c r="D20">
        <v>0.57249750076151618</v>
      </c>
      <c r="E20">
        <v>26.571085477777501</v>
      </c>
      <c r="F20">
        <v>-5.3519117419219553</v>
      </c>
      <c r="G20">
        <v>-9.241020140649594</v>
      </c>
      <c r="H20" t="s">
        <v>31</v>
      </c>
    </row>
    <row r="21" spans="1:8" x14ac:dyDescent="0.3">
      <c r="A21">
        <v>15</v>
      </c>
      <c r="B21" t="s">
        <v>7</v>
      </c>
      <c r="C21">
        <v>0.95122924659914876</v>
      </c>
      <c r="D21">
        <v>0.55116787864590955</v>
      </c>
      <c r="E21">
        <v>25.182045922213529</v>
      </c>
      <c r="F21">
        <v>-6.5621972438930474</v>
      </c>
      <c r="G21">
        <v>-11.330791653891101</v>
      </c>
      <c r="H21" t="s">
        <v>31</v>
      </c>
    </row>
    <row r="22" spans="1:8" x14ac:dyDescent="0.3">
      <c r="A22">
        <v>18</v>
      </c>
      <c r="B22" t="s">
        <v>9</v>
      </c>
      <c r="C22">
        <v>0.81585444275911445</v>
      </c>
      <c r="D22">
        <v>0.64305687467291861</v>
      </c>
      <c r="E22">
        <v>18.186772212439781</v>
      </c>
      <c r="H22" t="s">
        <v>31</v>
      </c>
    </row>
    <row r="23" spans="1:8" x14ac:dyDescent="0.3">
      <c r="A23">
        <v>18</v>
      </c>
      <c r="B23" t="s">
        <v>10</v>
      </c>
      <c r="C23">
        <v>0.80926061543416583</v>
      </c>
      <c r="D23">
        <v>0.57660541547816646</v>
      </c>
      <c r="E23">
        <v>21.71599294989548</v>
      </c>
      <c r="H23" t="s">
        <v>31</v>
      </c>
    </row>
    <row r="24" spans="1:8" x14ac:dyDescent="0.3">
      <c r="A24">
        <v>18</v>
      </c>
      <c r="B24" t="s">
        <v>6</v>
      </c>
      <c r="C24">
        <v>0.82549395555171523</v>
      </c>
      <c r="D24">
        <v>0.65356273071149773</v>
      </c>
      <c r="E24">
        <v>18.444788318544578</v>
      </c>
      <c r="F24">
        <v>1.9802568490079699</v>
      </c>
      <c r="G24">
        <v>3.887906426409359</v>
      </c>
      <c r="H24" t="s">
        <v>31</v>
      </c>
    </row>
    <row r="25" spans="1:8" x14ac:dyDescent="0.3">
      <c r="A25">
        <v>18</v>
      </c>
      <c r="B25" t="s">
        <v>8</v>
      </c>
      <c r="C25">
        <v>0.81242321289299491</v>
      </c>
      <c r="D25">
        <v>0.64064561340498483</v>
      </c>
      <c r="E25">
        <v>18.12481289774184</v>
      </c>
      <c r="H25" t="s">
        <v>31</v>
      </c>
    </row>
    <row r="26" spans="1:8" x14ac:dyDescent="0.3">
      <c r="A26">
        <v>18</v>
      </c>
      <c r="B26" t="s">
        <v>5</v>
      </c>
      <c r="C26">
        <v>0.82005653487644947</v>
      </c>
      <c r="D26">
        <v>0.64564311061641988</v>
      </c>
      <c r="E26">
        <v>18.552682520196139</v>
      </c>
      <c r="F26">
        <v>0.75562284991110429</v>
      </c>
      <c r="G26">
        <v>1.483540347598268</v>
      </c>
      <c r="H26" t="s">
        <v>31</v>
      </c>
    </row>
    <row r="27" spans="1:8" x14ac:dyDescent="0.3">
      <c r="A27">
        <v>18</v>
      </c>
      <c r="B27" t="s">
        <v>7</v>
      </c>
      <c r="C27">
        <v>0.75644996097905104</v>
      </c>
      <c r="D27">
        <v>0.61455097295868599</v>
      </c>
      <c r="E27">
        <v>17.711968544483781</v>
      </c>
      <c r="F27">
        <v>-4.3498479756877003E-3</v>
      </c>
      <c r="G27">
        <v>-8.5402062399474003E-3</v>
      </c>
      <c r="H27" t="s">
        <v>31</v>
      </c>
    </row>
    <row r="28" spans="1:8" x14ac:dyDescent="0.3">
      <c r="A28">
        <v>20</v>
      </c>
      <c r="B28" t="s">
        <v>9</v>
      </c>
      <c r="C28">
        <v>0.85866749155986533</v>
      </c>
      <c r="D28">
        <v>0.64815427672433612</v>
      </c>
      <c r="E28">
        <v>15.893412213550979</v>
      </c>
      <c r="H28" t="s">
        <v>31</v>
      </c>
    </row>
    <row r="29" spans="1:8" x14ac:dyDescent="0.3">
      <c r="A29">
        <v>20</v>
      </c>
      <c r="B29" t="s">
        <v>10</v>
      </c>
      <c r="C29">
        <v>0.8241444734041361</v>
      </c>
      <c r="D29">
        <v>0.58445298800064149</v>
      </c>
      <c r="E29">
        <v>18.085874120842181</v>
      </c>
      <c r="H29" t="s">
        <v>31</v>
      </c>
    </row>
    <row r="30" spans="1:8" x14ac:dyDescent="0.3">
      <c r="A30">
        <v>20</v>
      </c>
      <c r="B30" t="s">
        <v>6</v>
      </c>
      <c r="C30">
        <v>0.85667500225909565</v>
      </c>
      <c r="D30">
        <v>0.66895661933367923</v>
      </c>
      <c r="E30">
        <v>15.581507250209841</v>
      </c>
      <c r="F30">
        <v>-0.35446911093036487</v>
      </c>
      <c r="G30">
        <v>-0.6682517439961847</v>
      </c>
      <c r="H30" t="s">
        <v>31</v>
      </c>
    </row>
    <row r="31" spans="1:8" x14ac:dyDescent="0.3">
      <c r="A31">
        <v>20</v>
      </c>
      <c r="B31" t="s">
        <v>8</v>
      </c>
      <c r="C31">
        <v>0.87702225889743801</v>
      </c>
      <c r="D31">
        <v>0.65696405026911753</v>
      </c>
      <c r="E31">
        <v>16.253018182808191</v>
      </c>
      <c r="H31" t="s">
        <v>31</v>
      </c>
    </row>
    <row r="32" spans="1:8" x14ac:dyDescent="0.3">
      <c r="A32">
        <v>20</v>
      </c>
      <c r="B32" t="s">
        <v>5</v>
      </c>
      <c r="C32">
        <v>0.89095248319063503</v>
      </c>
      <c r="D32">
        <v>0.65631425874632299</v>
      </c>
      <c r="E32">
        <v>16.512588641936649</v>
      </c>
      <c r="F32">
        <v>-1.418850822431575</v>
      </c>
      <c r="G32">
        <v>-2.6748438928056091</v>
      </c>
      <c r="H32" t="s">
        <v>31</v>
      </c>
    </row>
    <row r="33" spans="1:8" x14ac:dyDescent="0.3">
      <c r="A33">
        <v>20</v>
      </c>
      <c r="B33" t="s">
        <v>7</v>
      </c>
      <c r="C33">
        <v>0.81441515150876798</v>
      </c>
      <c r="D33">
        <v>0.60477750742876213</v>
      </c>
      <c r="E33">
        <v>17.190438953302319</v>
      </c>
      <c r="F33">
        <v>-2.1797572338391569</v>
      </c>
      <c r="G33">
        <v>-4.1093187758395961</v>
      </c>
      <c r="H3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Stability Summary</vt:lpstr>
      <vt:lpstr>MASE</vt:lpstr>
      <vt:lpstr>RMSE (log)</vt:lpstr>
      <vt:lpstr>RMSE (count)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Rayn Warsi</cp:lastModifiedBy>
  <dcterms:created xsi:type="dcterms:W3CDTF">2026-09-02T11:51:45Z</dcterms:created>
  <dcterms:modified xsi:type="dcterms:W3CDTF">2026-09-02T11:57:46Z</dcterms:modified>
</cp:coreProperties>
</file>