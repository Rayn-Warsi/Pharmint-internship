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vents" sheetId="1" state="visible" r:id="rId3"/>
    <sheet name="events_exploded" sheetId="2" state="visible" r:id="rId4"/>
    <sheet name="summary" sheetId="3" state="visible" r:id="rId5"/>
  </sheets>
  <definedNames>
    <definedName function="false" hidden="true" localSheetId="0" name="_xlnm._FilterDatabase" vbProcedure="false">events!$A$1:$M$62</definedName>
    <definedName function="false" hidden="true" localSheetId="1" name="_xlnm._FilterDatabase" vbProcedure="false">events_exploded!$A$1:$J$84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<sst xmlns="http://schemas.openxmlformats.org/spreadsheetml/2006/main" count="1364" uniqueCount="222">
  <si>
    <t xml:space="preserve">event_id</t>
  </si>
  <si>
    <t xml:space="preserve">event_date</t>
  </si>
  <si>
    <t xml:space="preserve">year_month</t>
  </si>
  <si>
    <t xml:space="preserve">severity</t>
  </si>
  <si>
    <t xml:space="preserve">event_type</t>
  </si>
  <si>
    <t xml:space="preserve">scope</t>
  </si>
  <si>
    <t xml:space="preserve">tag_level</t>
  </si>
  <si>
    <t xml:space="preserve">country_tags</t>
  </si>
  <si>
    <t xml:space="preserve">drug_tags</t>
  </si>
  <si>
    <t xml:space="preserve">affected_value_musd</t>
  </si>
  <si>
    <t xml:space="preserve">risk_label</t>
  </si>
  <si>
    <t xml:space="preserve">source</t>
  </si>
  <si>
    <t xml:space="preserve">headline</t>
  </si>
  <si>
    <t xml:space="preserve">E001</t>
  </si>
  <si>
    <t xml:space="preserve">2026-01</t>
  </si>
  <si>
    <t xml:space="preserve">high</t>
  </si>
  <si>
    <t xml:space="preserve">Disease Outbreak</t>
  </si>
  <si>
    <t xml:space="preserve">country</t>
  </si>
  <si>
    <t xml:space="preserve">category</t>
  </si>
  <si>
    <t xml:space="preserve">ETHIOPIA</t>
  </si>
  <si>
    <t xml:space="preserve">antibiotics|vaccines|analgesics</t>
  </si>
  <si>
    <t xml:space="preserve">Significant risk</t>
  </si>
  <si>
    <t xml:space="preserve">WHO</t>
  </si>
  <si>
    <t xml:space="preserve">Marburg virus disease - Ethiopia (outbreak declared over)</t>
  </si>
  <si>
    <t xml:space="preserve">E002</t>
  </si>
  <si>
    <t xml:space="preserve">INDIA</t>
  </si>
  <si>
    <t xml:space="preserve">Nipah virus disease - India (West Bengal)</t>
  </si>
  <si>
    <t xml:space="preserve">E003</t>
  </si>
  <si>
    <t xml:space="preserve">2026-02</t>
  </si>
  <si>
    <t xml:space="preserve">BANGLADESH</t>
  </si>
  <si>
    <t xml:space="preserve">Nipah virus infection - Bangladesh (Rajshahi)</t>
  </si>
  <si>
    <t xml:space="preserve">E004</t>
  </si>
  <si>
    <t xml:space="preserve">drug</t>
  </si>
  <si>
    <t xml:space="preserve">substance</t>
  </si>
  <si>
    <t xml:space="preserve">GLOBAL</t>
  </si>
  <si>
    <t xml:space="preserve">vaccines|antivirals|tecovirimat</t>
  </si>
  <si>
    <t xml:space="preserve">Mpox recombinant clade Ib/IIb - global situation</t>
  </si>
  <si>
    <t xml:space="preserve">E005</t>
  </si>
  <si>
    <t xml:space="preserve">2026-03</t>
  </si>
  <si>
    <t xml:space="preserve">medium</t>
  </si>
  <si>
    <t xml:space="preserve">Trade Policy</t>
  </si>
  <si>
    <t xml:space="preserve">global</t>
  </si>
  <si>
    <t xml:space="preserve">pharmaceuticals</t>
  </si>
  <si>
    <t xml:space="preserve">News</t>
  </si>
  <si>
    <t xml:space="preserve">Survival home remedies consumer research report</t>
  </si>
  <si>
    <t xml:space="preserve">E006</t>
  </si>
  <si>
    <t xml:space="preserve">Regulatory</t>
  </si>
  <si>
    <t xml:space="preserve">New impurity in knockoff Zepbound - Eli Lilly safety warning</t>
  </si>
  <si>
    <t xml:space="preserve">E007</t>
  </si>
  <si>
    <t xml:space="preserve">critical</t>
  </si>
  <si>
    <t xml:space="preserve">activated charcoal|antiemetics|intravenous fluids|oral rehydration salts|antibiotics</t>
  </si>
  <si>
    <t xml:space="preserve">Infant formula / ARA oil contaminated with cereulide toxin - multi-country</t>
  </si>
  <si>
    <t xml:space="preserve">E008</t>
  </si>
  <si>
    <t xml:space="preserve">FDA warning to Novo Nordisk over adverse event reporting</t>
  </si>
  <si>
    <t xml:space="preserve">E009</t>
  </si>
  <si>
    <t xml:space="preserve">IRAN</t>
  </si>
  <si>
    <t xml:space="preserve">Moderate risk</t>
  </si>
  <si>
    <t xml:space="preserve">Iran war may spark medicine shortage amid UK meningitis outbreak</t>
  </si>
  <si>
    <t xml:space="preserve">E010</t>
  </si>
  <si>
    <t xml:space="preserve">drug_country</t>
  </si>
  <si>
    <t xml:space="preserve">UNITED STATES</t>
  </si>
  <si>
    <t xml:space="preserve">semaglutide</t>
  </si>
  <si>
    <t xml:space="preserve">FDA on Novo Nordisk side-effect reporting (Ozempic)</t>
  </si>
  <si>
    <t xml:space="preserve">E011</t>
  </si>
  <si>
    <t xml:space="preserve">Patcos Cosmetics Pvt. Ltd. - adulterated finished drug products</t>
  </si>
  <si>
    <t xml:space="preserve">E012</t>
  </si>
  <si>
    <t xml:space="preserve">Healthcare distribution market projection to 2035 (SNS Insider)</t>
  </si>
  <si>
    <t xml:space="preserve">E013</t>
  </si>
  <si>
    <t xml:space="preserve">semaglutide|GLP-1 agonists</t>
  </si>
  <si>
    <t xml:space="preserve">MEDVi GLP-1 telehealth claims evaluated</t>
  </si>
  <si>
    <t xml:space="preserve">E014</t>
  </si>
  <si>
    <t xml:space="preserve">Patent / IP</t>
  </si>
  <si>
    <t xml:space="preserve">India's cheap weight-loss drugs could reshape global obesity fight</t>
  </si>
  <si>
    <t xml:space="preserve">E015</t>
  </si>
  <si>
    <t xml:space="preserve">Conflict</t>
  </si>
  <si>
    <t xml:space="preserve">antibiotics|surgical supplies|analgesics|anesthetics|blood products</t>
  </si>
  <si>
    <t xml:space="preserve">Health care cyberattacks expose national security failure</t>
  </si>
  <si>
    <t xml:space="preserve">E016</t>
  </si>
  <si>
    <t xml:space="preserve">antibiotics|vaccines</t>
  </si>
  <si>
    <t xml:space="preserve">Meningococcal outbreak in Kent sparks vaccine shortage</t>
  </si>
  <si>
    <t xml:space="preserve">E017</t>
  </si>
  <si>
    <t xml:space="preserve">FDA safety communication - 32mg IV ondansetron (Zofran) withdrawn</t>
  </si>
  <si>
    <t xml:space="preserve">E018</t>
  </si>
  <si>
    <t xml:space="preserve">GLP-1 agonists|semaglutide</t>
  </si>
  <si>
    <t xml:space="preserve">Ozempic copies to cost $14 in India as generic GLP-1 era starts</t>
  </si>
  <si>
    <t xml:space="preserve">E019</t>
  </si>
  <si>
    <t xml:space="preserve">Natco launches Rs 1,290 semaglutide as Novo patent expires</t>
  </si>
  <si>
    <t xml:space="preserve">E020</t>
  </si>
  <si>
    <t xml:space="preserve">A blockbuster unleashed - 40+ Indian generic entrants</t>
  </si>
  <si>
    <t xml:space="preserve">E021</t>
  </si>
  <si>
    <t xml:space="preserve">Day 1 semaglutide patent expiry - Sun Pharma, Zydus launch generics</t>
  </si>
  <si>
    <t xml:space="preserve">E022</t>
  </si>
  <si>
    <t xml:space="preserve">Alkem launches semaglutide in India at Rs 450 per week</t>
  </si>
  <si>
    <t xml:space="preserve">E023</t>
  </si>
  <si>
    <t xml:space="preserve">Three critical supply chains upended by the war in Iran</t>
  </si>
  <si>
    <t xml:space="preserve">E024</t>
  </si>
  <si>
    <t xml:space="preserve">DCGI intervention after semaglutide genericisation</t>
  </si>
  <si>
    <t xml:space="preserve">E025</t>
  </si>
  <si>
    <t xml:space="preserve">Novo Nordisk India chief on evolving landscape</t>
  </si>
  <si>
    <t xml:space="preserve">E026</t>
  </si>
  <si>
    <t xml:space="preserve">CHINA|INDIA</t>
  </si>
  <si>
    <t xml:space="preserve">Generic weight-loss drugs an opportunity for Chinese and Indian drugmakers</t>
  </si>
  <si>
    <t xml:space="preserve">E027</t>
  </si>
  <si>
    <t xml:space="preserve">Dollar scarcity in Venezuela forces firms to raise prices, turn to crypto</t>
  </si>
  <si>
    <t xml:space="preserve">E028</t>
  </si>
  <si>
    <t xml:space="preserve">Dollar scarcity in Venezuela (duplicate feed item)</t>
  </si>
  <si>
    <t xml:space="preserve">E029</t>
  </si>
  <si>
    <t xml:space="preserve">Pharma company rebrands to Stablecoin Development Corp</t>
  </si>
  <si>
    <t xml:space="preserve">E030</t>
  </si>
  <si>
    <t xml:space="preserve">Sanctions</t>
  </si>
  <si>
    <t xml:space="preserve">antibiotics|surgical supplies|analgesics</t>
  </si>
  <si>
    <t xml:space="preserve">Dispatch from Cuba - US sanctions deepen medical supply crisis</t>
  </si>
  <si>
    <t xml:space="preserve">E031</t>
  </si>
  <si>
    <t xml:space="preserve">Medicine shortage risk if sea and air routes blocked</t>
  </si>
  <si>
    <t xml:space="preserve">E032</t>
  </si>
  <si>
    <t xml:space="preserve">GLP-1 agonists</t>
  </si>
  <si>
    <t xml:space="preserve">India tightens grip on GLP-1 supply chain amid misuse concerns</t>
  </si>
  <si>
    <t xml:space="preserve">E033</t>
  </si>
  <si>
    <t xml:space="preserve">DCGI intensifies crackdown on GLP-1 misuse, sales and ads</t>
  </si>
  <si>
    <t xml:space="preserve">E034</t>
  </si>
  <si>
    <t xml:space="preserve">India steps up surveillance on generic GLP-1 drugs</t>
  </si>
  <si>
    <t xml:space="preserve">E035</t>
  </si>
  <si>
    <t xml:space="preserve">ImmunityBio shares drop 20% on FDA warning letter</t>
  </si>
  <si>
    <t xml:space="preserve">E036</t>
  </si>
  <si>
    <t xml:space="preserve">FDA flags misleading cancer drug claims by Soon-Shiong</t>
  </si>
  <si>
    <t xml:space="preserve">E037</t>
  </si>
  <si>
    <t xml:space="preserve">vaccines</t>
  </si>
  <si>
    <t xml:space="preserve">FDA flags misleading cancer vaccine claims by Soon-Shiong</t>
  </si>
  <si>
    <t xml:space="preserve">E038</t>
  </si>
  <si>
    <t xml:space="preserve">paracetamol</t>
  </si>
  <si>
    <t xml:space="preserve">Rising chemical costs choke production at drug ingredient makers</t>
  </si>
  <si>
    <t xml:space="preserve">E039</t>
  </si>
  <si>
    <t xml:space="preserve">FDA says claims about cancer drug Anktiva are misleading</t>
  </si>
  <si>
    <t xml:space="preserve">E040</t>
  </si>
  <si>
    <t xml:space="preserve">FDA flags misleading claims for cancer drug (repeat item)</t>
  </si>
  <si>
    <t xml:space="preserve">E041</t>
  </si>
  <si>
    <t xml:space="preserve">Pharma bribery review - sham studies, slush funds, shell companies</t>
  </si>
  <si>
    <t xml:space="preserve">E042</t>
  </si>
  <si>
    <t xml:space="preserve">antibiotics</t>
  </si>
  <si>
    <t xml:space="preserve">Racial/ethnic differences in antibiotic treatment of CAP</t>
  </si>
  <si>
    <t xml:space="preserve">E043</t>
  </si>
  <si>
    <t xml:space="preserve">Klebsiella pneumoniae capsule locus serotype exchange study</t>
  </si>
  <si>
    <t xml:space="preserve">E044</t>
  </si>
  <si>
    <t xml:space="preserve">Neonatal sepsis AMR profile, Asella Teaching Hospital, Ethiopia</t>
  </si>
  <si>
    <t xml:space="preserve">E045</t>
  </si>
  <si>
    <t xml:space="preserve">Drug-resistant tuberculosis rising in the US</t>
  </si>
  <si>
    <t xml:space="preserve">E046</t>
  </si>
  <si>
    <t xml:space="preserve">GLP-1 drugs show promise in managing chronic migraines</t>
  </si>
  <si>
    <t xml:space="preserve">E047</t>
  </si>
  <si>
    <t xml:space="preserve">Antibiotic resistance swells during droughts</t>
  </si>
  <si>
    <t xml:space="preserve">E048</t>
  </si>
  <si>
    <t xml:space="preserve">VITL raises $7.5M for cash-pay clinic GLP-1 prescribing</t>
  </si>
  <si>
    <t xml:space="preserve">E049</t>
  </si>
  <si>
    <t xml:space="preserve">Artelo expands ART27.13 as GLP-1 companion therapy</t>
  </si>
  <si>
    <t xml:space="preserve">E050</t>
  </si>
  <si>
    <t xml:space="preserve">FY 2025 GDUFA science and research report</t>
  </si>
  <si>
    <t xml:space="preserve">E051</t>
  </si>
  <si>
    <t xml:space="preserve">FDA objects to claims by Soon-Shiong on cancer drug</t>
  </si>
  <si>
    <t xml:space="preserve">E052</t>
  </si>
  <si>
    <t xml:space="preserve">Soil may be a source of antibiotic resistance</t>
  </si>
  <si>
    <t xml:space="preserve">E053</t>
  </si>
  <si>
    <t xml:space="preserve">HUNGARY</t>
  </si>
  <si>
    <t xml:space="preserve">GDELT</t>
  </si>
  <si>
    <t xml:space="preserve">Hungarian investment trends 2026 - sector growth outlook</t>
  </si>
  <si>
    <t xml:space="preserve">E054</t>
  </si>
  <si>
    <t xml:space="preserve">Texas Attorney General takes on pharma again</t>
  </si>
  <si>
    <t xml:space="preserve">E055</t>
  </si>
  <si>
    <t xml:space="preserve">BRAZIL</t>
  </si>
  <si>
    <t xml:space="preserve">Brazil exempts import tariffs on 970 IT and capital goods items</t>
  </si>
  <si>
    <t xml:space="preserve">E056</t>
  </si>
  <si>
    <t xml:space="preserve">PHILIPPINES</t>
  </si>
  <si>
    <t xml:space="preserve">Zuellig Pharma opens Misato depot in Japan</t>
  </si>
  <si>
    <t xml:space="preserve">E057</t>
  </si>
  <si>
    <t xml:space="preserve">GERMANY</t>
  </si>
  <si>
    <t xml:space="preserve">German electronic patient record (ePa) technical problems</t>
  </si>
  <si>
    <t xml:space="preserve">E058</t>
  </si>
  <si>
    <t xml:space="preserve">US investigation into race discrimination in UCSD/Stanford admissions</t>
  </si>
  <si>
    <t xml:space="preserve">E059</t>
  </si>
  <si>
    <t xml:space="preserve">Third Circuit hears $1.6bn Johnson &amp; Johnson appeal</t>
  </si>
  <si>
    <t xml:space="preserve">E060</t>
  </si>
  <si>
    <t xml:space="preserve">Andersen Consulting agrees collaboration with Solutia</t>
  </si>
  <si>
    <t xml:space="preserve">E061</t>
  </si>
  <si>
    <t xml:space="preserve">RUSSIA</t>
  </si>
  <si>
    <t xml:space="preserve">Latvia moves to sever trade ties with Russia</t>
  </si>
  <si>
    <t xml:space="preserve">country_normalized</t>
  </si>
  <si>
    <t xml:space="preserve">drug_tag</t>
  </si>
  <si>
    <t xml:space="preserve">analgesics</t>
  </si>
  <si>
    <t xml:space="preserve">antivirals</t>
  </si>
  <si>
    <t xml:space="preserve">tecovirimat</t>
  </si>
  <si>
    <t xml:space="preserve">activated charcoal</t>
  </si>
  <si>
    <t xml:space="preserve">antiemetics</t>
  </si>
  <si>
    <t xml:space="preserve">intravenous fluids</t>
  </si>
  <si>
    <t xml:space="preserve">oral rehydration salts</t>
  </si>
  <si>
    <t xml:space="preserve">surgical supplies</t>
  </si>
  <si>
    <t xml:space="preserve">anesthetics</t>
  </si>
  <si>
    <t xml:space="preserve">blood products</t>
  </si>
  <si>
    <t xml:space="preserve">CHINA</t>
  </si>
  <si>
    <t xml:space="preserve">News event summary — counts computed from the 'events' sheet</t>
  </si>
  <si>
    <t xml:space="preserve">Severity</t>
  </si>
  <si>
    <t xml:space="preserve">Events</t>
  </si>
  <si>
    <t xml:space="preserve">low</t>
  </si>
  <si>
    <t xml:space="preserve">Total</t>
  </si>
  <si>
    <t xml:space="preserve">Scope</t>
  </si>
  <si>
    <t xml:space="preserve">Month</t>
  </si>
  <si>
    <t xml:space="preserve">of which high+critical</t>
  </si>
  <si>
    <t xml:space="preserve">NOTES AND ASSUMPTIONS</t>
  </si>
  <si>
    <t xml:space="preserve">1. Source: PharmInt AI Global Events feed, read manually. 61 events, all of them 2026.</t>
  </si>
  <si>
    <t xml:space="preserve">2. Feed coverage runs 26 Jan 2026 to 26 Mar 2026 only - three calendar months, and January</t>
  </si>
  <si>
    <t xml:space="preserve">   holds just two events. Severity 'low' returned zero events in the feed.</t>
  </si>
  <si>
    <t xml:space="preserve">3. country_tags and drug_tags reproduce the tags shown on each event card. Blank means the</t>
  </si>
  <si>
    <t xml:space="preserve">   card carried no tag of that kind; it is not an inference of 'global'.</t>
  </si>
  <si>
    <t xml:space="preserve">4. Most drug tags are broad CATEGORIES (pharmaceuticals, antibiotics, vaccines, GLP-1 agonists),</t>
  </si>
  <si>
    <t xml:space="preserve">   not drug_substance values. Only semaglutide, paracetamol and tecovirimat name a substance.</t>
  </si>
  <si>
    <t xml:space="preserve">   The tag_level column marks which is which.</t>
  </si>
  <si>
    <t xml:space="preserve">5. scope is derived: drug_country = a country tag AND a substance-level drug tag; drug = substance</t>
  </si>
  <si>
    <t xml:space="preserve">   only; country = country only; global = neither. GLOBAL is treated as no country.</t>
  </si>
  <si>
    <t xml:space="preserve">6. affected_value_musd is the figure printed on the card, in USD millions. Blank where the card</t>
  </si>
  <si>
    <t xml:space="preserve">   showed no figure or showed $0.00M. These are PharmInt's own estimates, not verified.</t>
  </si>
  <si>
    <t xml:space="preserve">7. E027 and E028 are the same Venezuela story appearing twice in the feed; E036, E040 and E051</t>
  </si>
  <si>
    <t xml:space="preserve">   are near-duplicate reports of the same FDA/Soon-Shiong action. Decide whether to de-duplicate</t>
  </si>
  <si>
    <t xml:space="preserve">   before aggregating - it materially changes March counts.</t>
  </si>
  <si>
    <t xml:space="preserve">8. events_exploded holds one row per event x country x drug tag, for merging onto a panel.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</si>
</sst>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#,##0.00;\(#,##0.00\);\-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1"/>
    <col collapsed="false" customWidth="true" hidden="false" outlineLevel="0" max="4" min="4" style="0" width="10"/>
    <col collapsed="false" customWidth="true" hidden="false" outlineLevel="0" max="5" min="5" style="0" width="15"/>
    <col collapsed="false" customWidth="true" hidden="false" outlineLevel="0" max="6" min="6" style="0" width="14"/>
    <col collapsed="false" customWidth="true" hidden="false" outlineLevel="0" max="7" min="7" style="0" width="11"/>
    <col collapsed="false" customWidth="true" hidden="false" outlineLevel="0" max="8" min="8" style="0" width="20"/>
    <col collapsed="false" customWidth="true" hidden="false" outlineLevel="0" max="9" min="9" style="0" width="34"/>
    <col collapsed="false" customWidth="true" hidden="false" outlineLevel="0" max="10" min="10" style="0" width="17"/>
    <col collapsed="false" customWidth="true" hidden="false" outlineLevel="0" max="11" min="11" style="0" width="15"/>
    <col collapsed="false" customWidth="true" hidden="false" outlineLevel="0" max="12" min="12" style="0" width="9"/>
    <col collapsed="false" customWidth="true" hidden="false" outlineLevel="0" max="13" min="13" style="0" width="62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" hidden="false" customHeight="false" outlineLevel="0" collapsed="false">
      <c r="A2" s="2" t="s">
        <v>13</v>
      </c>
      <c r="B2" s="3" t="n">
        <v>46048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4" t="n">
        <v>15770</v>
      </c>
      <c r="K2" s="2" t="s">
        <v>21</v>
      </c>
      <c r="L2" s="2" t="s">
        <v>22</v>
      </c>
      <c r="M2" s="2" t="s">
        <v>23</v>
      </c>
    </row>
    <row r="3" customFormat="false" ht="15" hidden="false" customHeight="false" outlineLevel="0" collapsed="false">
      <c r="A3" s="2" t="s">
        <v>24</v>
      </c>
      <c r="B3" s="3" t="n">
        <v>46052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18</v>
      </c>
      <c r="H3" s="2" t="s">
        <v>25</v>
      </c>
      <c r="I3" s="2" t="s">
        <v>20</v>
      </c>
      <c r="J3" s="4" t="n">
        <v>24080</v>
      </c>
      <c r="K3" s="2" t="s">
        <v>21</v>
      </c>
      <c r="L3" s="2" t="s">
        <v>22</v>
      </c>
      <c r="M3" s="2" t="s">
        <v>26</v>
      </c>
    </row>
    <row r="4" customFormat="false" ht="15" hidden="false" customHeight="false" outlineLevel="0" collapsed="false">
      <c r="A4" s="2" t="s">
        <v>27</v>
      </c>
      <c r="B4" s="3" t="n">
        <v>46060</v>
      </c>
      <c r="C4" s="2" t="s">
        <v>28</v>
      </c>
      <c r="D4" s="2" t="s">
        <v>15</v>
      </c>
      <c r="E4" s="2" t="s">
        <v>16</v>
      </c>
      <c r="F4" s="2" t="s">
        <v>17</v>
      </c>
      <c r="G4" s="2" t="s">
        <v>18</v>
      </c>
      <c r="H4" s="2" t="s">
        <v>29</v>
      </c>
      <c r="I4" s="2" t="s">
        <v>20</v>
      </c>
      <c r="J4" s="4" t="n">
        <v>1520</v>
      </c>
      <c r="K4" s="2" t="s">
        <v>21</v>
      </c>
      <c r="L4" s="2" t="s">
        <v>22</v>
      </c>
      <c r="M4" s="2" t="s">
        <v>30</v>
      </c>
    </row>
    <row r="5" customFormat="false" ht="15" hidden="false" customHeight="false" outlineLevel="0" collapsed="false">
      <c r="A5" s="2" t="s">
        <v>31</v>
      </c>
      <c r="B5" s="3" t="n">
        <v>46067</v>
      </c>
      <c r="C5" s="2" t="s">
        <v>28</v>
      </c>
      <c r="D5" s="2" t="s">
        <v>15</v>
      </c>
      <c r="E5" s="2" t="s">
        <v>16</v>
      </c>
      <c r="F5" s="2" t="s">
        <v>32</v>
      </c>
      <c r="G5" s="2" t="s">
        <v>33</v>
      </c>
      <c r="H5" s="2" t="s">
        <v>34</v>
      </c>
      <c r="I5" s="2" t="s">
        <v>35</v>
      </c>
      <c r="J5" s="4"/>
      <c r="K5" s="2"/>
      <c r="L5" s="2" t="s">
        <v>22</v>
      </c>
      <c r="M5" s="2" t="s">
        <v>36</v>
      </c>
    </row>
    <row r="6" customFormat="false" ht="15" hidden="false" customHeight="false" outlineLevel="0" collapsed="false">
      <c r="A6" s="2" t="s">
        <v>37</v>
      </c>
      <c r="B6" s="3" t="n">
        <v>46093</v>
      </c>
      <c r="C6" s="2" t="s">
        <v>38</v>
      </c>
      <c r="D6" s="2" t="s">
        <v>39</v>
      </c>
      <c r="E6" s="2" t="s">
        <v>40</v>
      </c>
      <c r="F6" s="2" t="s">
        <v>41</v>
      </c>
      <c r="G6" s="2" t="s">
        <v>18</v>
      </c>
      <c r="H6" s="2"/>
      <c r="I6" s="2" t="s">
        <v>42</v>
      </c>
      <c r="J6" s="4"/>
      <c r="K6" s="2"/>
      <c r="L6" s="2" t="s">
        <v>43</v>
      </c>
      <c r="M6" s="2" t="s">
        <v>44</v>
      </c>
    </row>
    <row r="7" customFormat="false" ht="15" hidden="false" customHeight="false" outlineLevel="0" collapsed="false">
      <c r="A7" s="2" t="s">
        <v>45</v>
      </c>
      <c r="B7" s="3" t="n">
        <v>46094</v>
      </c>
      <c r="C7" s="2" t="s">
        <v>38</v>
      </c>
      <c r="D7" s="2" t="s">
        <v>15</v>
      </c>
      <c r="E7" s="2" t="s">
        <v>46</v>
      </c>
      <c r="F7" s="2" t="s">
        <v>41</v>
      </c>
      <c r="G7" s="2" t="s">
        <v>18</v>
      </c>
      <c r="H7" s="2"/>
      <c r="I7" s="2" t="s">
        <v>42</v>
      </c>
      <c r="J7" s="4"/>
      <c r="K7" s="2"/>
      <c r="L7" s="2" t="s">
        <v>43</v>
      </c>
      <c r="M7" s="2" t="s">
        <v>47</v>
      </c>
    </row>
    <row r="8" customFormat="false" ht="15" hidden="false" customHeight="false" outlineLevel="0" collapsed="false">
      <c r="A8" s="2" t="s">
        <v>48</v>
      </c>
      <c r="B8" s="3" t="n">
        <v>46094</v>
      </c>
      <c r="C8" s="2" t="s">
        <v>38</v>
      </c>
      <c r="D8" s="2" t="s">
        <v>49</v>
      </c>
      <c r="E8" s="2" t="s">
        <v>16</v>
      </c>
      <c r="F8" s="2" t="s">
        <v>41</v>
      </c>
      <c r="G8" s="2" t="s">
        <v>18</v>
      </c>
      <c r="H8" s="2"/>
      <c r="I8" s="2" t="s">
        <v>50</v>
      </c>
      <c r="J8" s="4"/>
      <c r="K8" s="2"/>
      <c r="L8" s="2" t="s">
        <v>22</v>
      </c>
      <c r="M8" s="2" t="s">
        <v>51</v>
      </c>
    </row>
    <row r="9" customFormat="false" ht="15" hidden="false" customHeight="false" outlineLevel="0" collapsed="false">
      <c r="A9" s="2" t="s">
        <v>52</v>
      </c>
      <c r="B9" s="3" t="n">
        <v>46097</v>
      </c>
      <c r="C9" s="2" t="s">
        <v>38</v>
      </c>
      <c r="D9" s="2" t="s">
        <v>15</v>
      </c>
      <c r="E9" s="2" t="s">
        <v>46</v>
      </c>
      <c r="F9" s="2" t="s">
        <v>41</v>
      </c>
      <c r="G9" s="2" t="s">
        <v>18</v>
      </c>
      <c r="H9" s="2"/>
      <c r="I9" s="2" t="s">
        <v>42</v>
      </c>
      <c r="J9" s="4"/>
      <c r="K9" s="2"/>
      <c r="L9" s="2" t="s">
        <v>43</v>
      </c>
      <c r="M9" s="2" t="s">
        <v>53</v>
      </c>
    </row>
    <row r="10" customFormat="false" ht="15" hidden="false" customHeight="false" outlineLevel="0" collapsed="false">
      <c r="A10" s="2" t="s">
        <v>54</v>
      </c>
      <c r="B10" s="3" t="n">
        <v>46098</v>
      </c>
      <c r="C10" s="2" t="s">
        <v>38</v>
      </c>
      <c r="D10" s="2" t="s">
        <v>39</v>
      </c>
      <c r="E10" s="2" t="s">
        <v>40</v>
      </c>
      <c r="F10" s="2" t="s">
        <v>17</v>
      </c>
      <c r="G10" s="2" t="s">
        <v>18</v>
      </c>
      <c r="H10" s="2" t="s">
        <v>55</v>
      </c>
      <c r="I10" s="2" t="s">
        <v>42</v>
      </c>
      <c r="J10" s="4" t="n">
        <v>183.45</v>
      </c>
      <c r="K10" s="2" t="s">
        <v>56</v>
      </c>
      <c r="L10" s="2" t="s">
        <v>43</v>
      </c>
      <c r="M10" s="2" t="s">
        <v>57</v>
      </c>
    </row>
    <row r="11" customFormat="false" ht="15" hidden="false" customHeight="false" outlineLevel="0" collapsed="false">
      <c r="A11" s="2" t="s">
        <v>58</v>
      </c>
      <c r="B11" s="3" t="n">
        <v>46098</v>
      </c>
      <c r="C11" s="2" t="s">
        <v>38</v>
      </c>
      <c r="D11" s="2" t="s">
        <v>39</v>
      </c>
      <c r="E11" s="2" t="s">
        <v>46</v>
      </c>
      <c r="F11" s="2" t="s">
        <v>59</v>
      </c>
      <c r="G11" s="2" t="s">
        <v>33</v>
      </c>
      <c r="H11" s="2" t="s">
        <v>60</v>
      </c>
      <c r="I11" s="2" t="s">
        <v>61</v>
      </c>
      <c r="J11" s="4"/>
      <c r="K11" s="2"/>
      <c r="L11" s="2" t="s">
        <v>43</v>
      </c>
      <c r="M11" s="2" t="s">
        <v>62</v>
      </c>
    </row>
    <row r="12" customFormat="false" ht="15" hidden="false" customHeight="false" outlineLevel="0" collapsed="false">
      <c r="A12" s="2" t="s">
        <v>63</v>
      </c>
      <c r="B12" s="3" t="n">
        <v>46098</v>
      </c>
      <c r="C12" s="2" t="s">
        <v>38</v>
      </c>
      <c r="D12" s="2" t="s">
        <v>39</v>
      </c>
      <c r="E12" s="2" t="s">
        <v>40</v>
      </c>
      <c r="F12" s="2" t="s">
        <v>41</v>
      </c>
      <c r="G12" s="2" t="s">
        <v>18</v>
      </c>
      <c r="H12" s="2"/>
      <c r="I12" s="2" t="s">
        <v>42</v>
      </c>
      <c r="J12" s="4"/>
      <c r="K12" s="2"/>
      <c r="L12" s="2" t="s">
        <v>43</v>
      </c>
      <c r="M12" s="2" t="s">
        <v>64</v>
      </c>
    </row>
    <row r="13" customFormat="false" ht="15" hidden="false" customHeight="false" outlineLevel="0" collapsed="false">
      <c r="A13" s="2" t="s">
        <v>65</v>
      </c>
      <c r="B13" s="3" t="n">
        <v>46098</v>
      </c>
      <c r="C13" s="2" t="s">
        <v>38</v>
      </c>
      <c r="D13" s="2" t="s">
        <v>39</v>
      </c>
      <c r="E13" s="2" t="s">
        <v>40</v>
      </c>
      <c r="F13" s="2" t="s">
        <v>41</v>
      </c>
      <c r="G13" s="2" t="s">
        <v>18</v>
      </c>
      <c r="H13" s="2"/>
      <c r="I13" s="2" t="s">
        <v>42</v>
      </c>
      <c r="J13" s="4"/>
      <c r="K13" s="2"/>
      <c r="L13" s="2" t="s">
        <v>43</v>
      </c>
      <c r="M13" s="2" t="s">
        <v>66</v>
      </c>
    </row>
    <row r="14" customFormat="false" ht="15" hidden="false" customHeight="false" outlineLevel="0" collapsed="false">
      <c r="A14" s="2" t="s">
        <v>67</v>
      </c>
      <c r="B14" s="3" t="n">
        <v>46099</v>
      </c>
      <c r="C14" s="2" t="s">
        <v>38</v>
      </c>
      <c r="D14" s="2" t="s">
        <v>39</v>
      </c>
      <c r="E14" s="2" t="s">
        <v>46</v>
      </c>
      <c r="F14" s="2" t="s">
        <v>32</v>
      </c>
      <c r="G14" s="2" t="s">
        <v>33</v>
      </c>
      <c r="H14" s="2"/>
      <c r="I14" s="2" t="s">
        <v>68</v>
      </c>
      <c r="J14" s="4"/>
      <c r="K14" s="2"/>
      <c r="L14" s="2" t="s">
        <v>43</v>
      </c>
      <c r="M14" s="2" t="s">
        <v>69</v>
      </c>
    </row>
    <row r="15" customFormat="false" ht="15" hidden="false" customHeight="false" outlineLevel="0" collapsed="false">
      <c r="A15" s="2" t="s">
        <v>70</v>
      </c>
      <c r="B15" s="3" t="n">
        <v>46099</v>
      </c>
      <c r="C15" s="2" t="s">
        <v>38</v>
      </c>
      <c r="D15" s="2" t="s">
        <v>15</v>
      </c>
      <c r="E15" s="2" t="s">
        <v>71</v>
      </c>
      <c r="F15" s="2" t="s">
        <v>59</v>
      </c>
      <c r="G15" s="2" t="s">
        <v>33</v>
      </c>
      <c r="H15" s="2" t="s">
        <v>25</v>
      </c>
      <c r="I15" s="2" t="s">
        <v>61</v>
      </c>
      <c r="J15" s="4" t="n">
        <v>24080</v>
      </c>
      <c r="K15" s="2" t="s">
        <v>21</v>
      </c>
      <c r="L15" s="2" t="s">
        <v>43</v>
      </c>
      <c r="M15" s="2" t="s">
        <v>72</v>
      </c>
    </row>
    <row r="16" customFormat="false" ht="15" hidden="false" customHeight="false" outlineLevel="0" collapsed="false">
      <c r="A16" s="2" t="s">
        <v>73</v>
      </c>
      <c r="B16" s="3" t="n">
        <v>46099</v>
      </c>
      <c r="C16" s="2" t="s">
        <v>38</v>
      </c>
      <c r="D16" s="2" t="s">
        <v>15</v>
      </c>
      <c r="E16" s="2" t="s">
        <v>74</v>
      </c>
      <c r="F16" s="2" t="s">
        <v>41</v>
      </c>
      <c r="G16" s="2" t="s">
        <v>18</v>
      </c>
      <c r="H16" s="2"/>
      <c r="I16" s="2" t="s">
        <v>75</v>
      </c>
      <c r="J16" s="4"/>
      <c r="K16" s="2"/>
      <c r="L16" s="2" t="s">
        <v>43</v>
      </c>
      <c r="M16" s="2" t="s">
        <v>76</v>
      </c>
    </row>
    <row r="17" customFormat="false" ht="15" hidden="false" customHeight="false" outlineLevel="0" collapsed="false">
      <c r="A17" s="2" t="s">
        <v>77</v>
      </c>
      <c r="B17" s="3" t="n">
        <v>46099</v>
      </c>
      <c r="C17" s="2" t="s">
        <v>38</v>
      </c>
      <c r="D17" s="2" t="s">
        <v>39</v>
      </c>
      <c r="E17" s="2" t="s">
        <v>40</v>
      </c>
      <c r="F17" s="2" t="s">
        <v>41</v>
      </c>
      <c r="G17" s="2" t="s">
        <v>18</v>
      </c>
      <c r="H17" s="2"/>
      <c r="I17" s="2" t="s">
        <v>78</v>
      </c>
      <c r="J17" s="4"/>
      <c r="K17" s="2"/>
      <c r="L17" s="2" t="s">
        <v>43</v>
      </c>
      <c r="M17" s="2" t="s">
        <v>79</v>
      </c>
    </row>
    <row r="18" customFormat="false" ht="15" hidden="false" customHeight="false" outlineLevel="0" collapsed="false">
      <c r="A18" s="2" t="s">
        <v>80</v>
      </c>
      <c r="B18" s="3" t="n">
        <v>46100</v>
      </c>
      <c r="C18" s="2" t="s">
        <v>38</v>
      </c>
      <c r="D18" s="2" t="s">
        <v>39</v>
      </c>
      <c r="E18" s="2" t="s">
        <v>46</v>
      </c>
      <c r="F18" s="2" t="s">
        <v>41</v>
      </c>
      <c r="G18" s="2" t="s">
        <v>18</v>
      </c>
      <c r="H18" s="2"/>
      <c r="I18" s="2" t="s">
        <v>42</v>
      </c>
      <c r="J18" s="4"/>
      <c r="K18" s="2"/>
      <c r="L18" s="2" t="s">
        <v>43</v>
      </c>
      <c r="M18" s="2" t="s">
        <v>81</v>
      </c>
    </row>
    <row r="19" customFormat="false" ht="15" hidden="false" customHeight="false" outlineLevel="0" collapsed="false">
      <c r="A19" s="2" t="s">
        <v>82</v>
      </c>
      <c r="B19" s="3" t="n">
        <v>46101</v>
      </c>
      <c r="C19" s="2" t="s">
        <v>38</v>
      </c>
      <c r="D19" s="2" t="s">
        <v>15</v>
      </c>
      <c r="E19" s="2" t="s">
        <v>71</v>
      </c>
      <c r="F19" s="2" t="s">
        <v>59</v>
      </c>
      <c r="G19" s="2" t="s">
        <v>33</v>
      </c>
      <c r="H19" s="2" t="s">
        <v>25</v>
      </c>
      <c r="I19" s="2" t="s">
        <v>83</v>
      </c>
      <c r="J19" s="4" t="n">
        <v>24080</v>
      </c>
      <c r="K19" s="2" t="s">
        <v>21</v>
      </c>
      <c r="L19" s="2" t="s">
        <v>43</v>
      </c>
      <c r="M19" s="2" t="s">
        <v>84</v>
      </c>
    </row>
    <row r="20" customFormat="false" ht="15" hidden="false" customHeight="false" outlineLevel="0" collapsed="false">
      <c r="A20" s="2" t="s">
        <v>85</v>
      </c>
      <c r="B20" s="3" t="n">
        <v>46101</v>
      </c>
      <c r="C20" s="2" t="s">
        <v>38</v>
      </c>
      <c r="D20" s="2" t="s">
        <v>15</v>
      </c>
      <c r="E20" s="2" t="s">
        <v>71</v>
      </c>
      <c r="F20" s="2" t="s">
        <v>59</v>
      </c>
      <c r="G20" s="2" t="s">
        <v>33</v>
      </c>
      <c r="H20" s="2" t="s">
        <v>25</v>
      </c>
      <c r="I20" s="2" t="s">
        <v>61</v>
      </c>
      <c r="J20" s="4" t="n">
        <v>24080</v>
      </c>
      <c r="K20" s="2" t="s">
        <v>21</v>
      </c>
      <c r="L20" s="2" t="s">
        <v>43</v>
      </c>
      <c r="M20" s="2" t="s">
        <v>86</v>
      </c>
    </row>
    <row r="21" customFormat="false" ht="15" hidden="false" customHeight="false" outlineLevel="0" collapsed="false">
      <c r="A21" s="2" t="s">
        <v>87</v>
      </c>
      <c r="B21" s="3" t="n">
        <v>46102</v>
      </c>
      <c r="C21" s="2" t="s">
        <v>38</v>
      </c>
      <c r="D21" s="2" t="s">
        <v>39</v>
      </c>
      <c r="E21" s="2" t="s">
        <v>71</v>
      </c>
      <c r="F21" s="2" t="s">
        <v>59</v>
      </c>
      <c r="G21" s="2" t="s">
        <v>33</v>
      </c>
      <c r="H21" s="2" t="s">
        <v>25</v>
      </c>
      <c r="I21" s="2" t="s">
        <v>61</v>
      </c>
      <c r="J21" s="4" t="n">
        <v>24080</v>
      </c>
      <c r="K21" s="2" t="s">
        <v>56</v>
      </c>
      <c r="L21" s="2" t="s">
        <v>43</v>
      </c>
      <c r="M21" s="2" t="s">
        <v>88</v>
      </c>
    </row>
    <row r="22" customFormat="false" ht="15" hidden="false" customHeight="false" outlineLevel="0" collapsed="false">
      <c r="A22" s="2" t="s">
        <v>89</v>
      </c>
      <c r="B22" s="3" t="n">
        <v>46102</v>
      </c>
      <c r="C22" s="2" t="s">
        <v>38</v>
      </c>
      <c r="D22" s="2" t="s">
        <v>15</v>
      </c>
      <c r="E22" s="2" t="s">
        <v>71</v>
      </c>
      <c r="F22" s="2" t="s">
        <v>32</v>
      </c>
      <c r="G22" s="2" t="s">
        <v>33</v>
      </c>
      <c r="H22" s="2"/>
      <c r="I22" s="2" t="s">
        <v>61</v>
      </c>
      <c r="J22" s="4"/>
      <c r="K22" s="2"/>
      <c r="L22" s="2" t="s">
        <v>43</v>
      </c>
      <c r="M22" s="2" t="s">
        <v>90</v>
      </c>
    </row>
    <row r="23" customFormat="false" ht="15" hidden="false" customHeight="false" outlineLevel="0" collapsed="false">
      <c r="A23" s="2" t="s">
        <v>91</v>
      </c>
      <c r="B23" s="3" t="n">
        <v>46102</v>
      </c>
      <c r="C23" s="2" t="s">
        <v>38</v>
      </c>
      <c r="D23" s="2" t="s">
        <v>39</v>
      </c>
      <c r="E23" s="2" t="s">
        <v>40</v>
      </c>
      <c r="F23" s="2" t="s">
        <v>59</v>
      </c>
      <c r="G23" s="2" t="s">
        <v>33</v>
      </c>
      <c r="H23" s="2" t="s">
        <v>25</v>
      </c>
      <c r="I23" s="2" t="s">
        <v>61</v>
      </c>
      <c r="J23" s="4" t="n">
        <v>24080</v>
      </c>
      <c r="K23" s="2" t="s">
        <v>56</v>
      </c>
      <c r="L23" s="2" t="s">
        <v>43</v>
      </c>
      <c r="M23" s="2" t="s">
        <v>92</v>
      </c>
    </row>
    <row r="24" customFormat="false" ht="15" hidden="false" customHeight="false" outlineLevel="0" collapsed="false">
      <c r="A24" s="2" t="s">
        <v>93</v>
      </c>
      <c r="B24" s="3" t="n">
        <v>46102</v>
      </c>
      <c r="C24" s="2" t="s">
        <v>38</v>
      </c>
      <c r="D24" s="2" t="s">
        <v>15</v>
      </c>
      <c r="E24" s="2" t="s">
        <v>40</v>
      </c>
      <c r="F24" s="2" t="s">
        <v>17</v>
      </c>
      <c r="G24" s="2" t="s">
        <v>18</v>
      </c>
      <c r="H24" s="2" t="s">
        <v>55</v>
      </c>
      <c r="I24" s="2" t="s">
        <v>42</v>
      </c>
      <c r="J24" s="4" t="n">
        <v>183.45</v>
      </c>
      <c r="K24" s="2" t="s">
        <v>21</v>
      </c>
      <c r="L24" s="2" t="s">
        <v>43</v>
      </c>
      <c r="M24" s="2" t="s">
        <v>94</v>
      </c>
    </row>
    <row r="25" customFormat="false" ht="15" hidden="false" customHeight="false" outlineLevel="0" collapsed="false">
      <c r="A25" s="2" t="s">
        <v>95</v>
      </c>
      <c r="B25" s="3" t="n">
        <v>46104</v>
      </c>
      <c r="C25" s="2" t="s">
        <v>38</v>
      </c>
      <c r="D25" s="2" t="s">
        <v>39</v>
      </c>
      <c r="E25" s="2" t="s">
        <v>71</v>
      </c>
      <c r="F25" s="2" t="s">
        <v>59</v>
      </c>
      <c r="G25" s="2" t="s">
        <v>33</v>
      </c>
      <c r="H25" s="2" t="s">
        <v>25</v>
      </c>
      <c r="I25" s="2" t="s">
        <v>61</v>
      </c>
      <c r="J25" s="4" t="n">
        <v>24080</v>
      </c>
      <c r="K25" s="2" t="s">
        <v>56</v>
      </c>
      <c r="L25" s="2" t="s">
        <v>43</v>
      </c>
      <c r="M25" s="2" t="s">
        <v>96</v>
      </c>
    </row>
    <row r="26" customFormat="false" ht="15" hidden="false" customHeight="false" outlineLevel="0" collapsed="false">
      <c r="A26" s="2" t="s">
        <v>97</v>
      </c>
      <c r="B26" s="3" t="n">
        <v>46104</v>
      </c>
      <c r="C26" s="2" t="s">
        <v>38</v>
      </c>
      <c r="D26" s="2" t="s">
        <v>39</v>
      </c>
      <c r="E26" s="2" t="s">
        <v>71</v>
      </c>
      <c r="F26" s="2" t="s">
        <v>59</v>
      </c>
      <c r="G26" s="2" t="s">
        <v>33</v>
      </c>
      <c r="H26" s="2" t="s">
        <v>25</v>
      </c>
      <c r="I26" s="2" t="s">
        <v>61</v>
      </c>
      <c r="J26" s="4" t="n">
        <v>24080</v>
      </c>
      <c r="K26" s="2" t="s">
        <v>56</v>
      </c>
      <c r="L26" s="2" t="s">
        <v>43</v>
      </c>
      <c r="M26" s="2" t="s">
        <v>98</v>
      </c>
    </row>
    <row r="27" customFormat="false" ht="15" hidden="false" customHeight="false" outlineLevel="0" collapsed="false">
      <c r="A27" s="2" t="s">
        <v>99</v>
      </c>
      <c r="B27" s="3" t="n">
        <v>46104</v>
      </c>
      <c r="C27" s="2" t="s">
        <v>38</v>
      </c>
      <c r="D27" s="2" t="s">
        <v>15</v>
      </c>
      <c r="E27" s="2" t="s">
        <v>71</v>
      </c>
      <c r="F27" s="2" t="s">
        <v>59</v>
      </c>
      <c r="G27" s="2" t="s">
        <v>33</v>
      </c>
      <c r="H27" s="2" t="s">
        <v>100</v>
      </c>
      <c r="I27" s="2" t="s">
        <v>61</v>
      </c>
      <c r="J27" s="4" t="n">
        <v>24880</v>
      </c>
      <c r="K27" s="2" t="s">
        <v>21</v>
      </c>
      <c r="L27" s="2" t="s">
        <v>43</v>
      </c>
      <c r="M27" s="2" t="s">
        <v>101</v>
      </c>
    </row>
    <row r="28" customFormat="false" ht="15" hidden="false" customHeight="false" outlineLevel="0" collapsed="false">
      <c r="A28" s="2" t="s">
        <v>102</v>
      </c>
      <c r="B28" s="3" t="n">
        <v>46104</v>
      </c>
      <c r="C28" s="2" t="s">
        <v>38</v>
      </c>
      <c r="D28" s="2" t="s">
        <v>39</v>
      </c>
      <c r="E28" s="2" t="s">
        <v>40</v>
      </c>
      <c r="F28" s="2" t="s">
        <v>41</v>
      </c>
      <c r="G28" s="2" t="s">
        <v>18</v>
      </c>
      <c r="H28" s="2"/>
      <c r="I28" s="2" t="s">
        <v>42</v>
      </c>
      <c r="J28" s="4"/>
      <c r="K28" s="2"/>
      <c r="L28" s="2" t="s">
        <v>43</v>
      </c>
      <c r="M28" s="2" t="s">
        <v>103</v>
      </c>
    </row>
    <row r="29" customFormat="false" ht="15" hidden="false" customHeight="false" outlineLevel="0" collapsed="false">
      <c r="A29" s="2" t="s">
        <v>104</v>
      </c>
      <c r="B29" s="3" t="n">
        <v>46104</v>
      </c>
      <c r="C29" s="2" t="s">
        <v>38</v>
      </c>
      <c r="D29" s="2" t="s">
        <v>39</v>
      </c>
      <c r="E29" s="2" t="s">
        <v>40</v>
      </c>
      <c r="F29" s="2" t="s">
        <v>41</v>
      </c>
      <c r="G29" s="2" t="s">
        <v>18</v>
      </c>
      <c r="H29" s="2"/>
      <c r="I29" s="2" t="s">
        <v>42</v>
      </c>
      <c r="J29" s="4"/>
      <c r="K29" s="2"/>
      <c r="L29" s="2" t="s">
        <v>43</v>
      </c>
      <c r="M29" s="2" t="s">
        <v>105</v>
      </c>
    </row>
    <row r="30" customFormat="false" ht="15" hidden="false" customHeight="false" outlineLevel="0" collapsed="false">
      <c r="A30" s="2" t="s">
        <v>106</v>
      </c>
      <c r="B30" s="3" t="n">
        <v>46104</v>
      </c>
      <c r="C30" s="2" t="s">
        <v>38</v>
      </c>
      <c r="D30" s="2" t="s">
        <v>39</v>
      </c>
      <c r="E30" s="2" t="s">
        <v>40</v>
      </c>
      <c r="F30" s="2" t="s">
        <v>41</v>
      </c>
      <c r="G30" s="2" t="s">
        <v>18</v>
      </c>
      <c r="H30" s="2"/>
      <c r="I30" s="2" t="s">
        <v>42</v>
      </c>
      <c r="J30" s="4"/>
      <c r="K30" s="2"/>
      <c r="L30" s="2" t="s">
        <v>43</v>
      </c>
      <c r="M30" s="2" t="s">
        <v>107</v>
      </c>
    </row>
    <row r="31" customFormat="false" ht="15" hidden="false" customHeight="false" outlineLevel="0" collapsed="false">
      <c r="A31" s="2" t="s">
        <v>108</v>
      </c>
      <c r="B31" s="3" t="n">
        <v>46104</v>
      </c>
      <c r="C31" s="2" t="s">
        <v>38</v>
      </c>
      <c r="D31" s="2" t="s">
        <v>15</v>
      </c>
      <c r="E31" s="2" t="s">
        <v>109</v>
      </c>
      <c r="F31" s="2" t="s">
        <v>41</v>
      </c>
      <c r="G31" s="2" t="s">
        <v>18</v>
      </c>
      <c r="H31" s="2"/>
      <c r="I31" s="2" t="s">
        <v>110</v>
      </c>
      <c r="J31" s="4"/>
      <c r="K31" s="2"/>
      <c r="L31" s="2" t="s">
        <v>43</v>
      </c>
      <c r="M31" s="2" t="s">
        <v>111</v>
      </c>
    </row>
    <row r="32" customFormat="false" ht="15" hidden="false" customHeight="false" outlineLevel="0" collapsed="false">
      <c r="A32" s="2" t="s">
        <v>112</v>
      </c>
      <c r="B32" s="3" t="n">
        <v>46105</v>
      </c>
      <c r="C32" s="2" t="s">
        <v>38</v>
      </c>
      <c r="D32" s="2" t="s">
        <v>39</v>
      </c>
      <c r="E32" s="2" t="s">
        <v>40</v>
      </c>
      <c r="F32" s="2" t="s">
        <v>41</v>
      </c>
      <c r="G32" s="2" t="s">
        <v>18</v>
      </c>
      <c r="H32" s="2"/>
      <c r="I32" s="2" t="s">
        <v>42</v>
      </c>
      <c r="J32" s="4"/>
      <c r="K32" s="2"/>
      <c r="L32" s="2" t="s">
        <v>43</v>
      </c>
      <c r="M32" s="2" t="s">
        <v>113</v>
      </c>
    </row>
    <row r="33" customFormat="false" ht="15" hidden="false" customHeight="false" outlineLevel="0" collapsed="false">
      <c r="A33" s="2" t="s">
        <v>114</v>
      </c>
      <c r="B33" s="3" t="n">
        <v>46105</v>
      </c>
      <c r="C33" s="2" t="s">
        <v>38</v>
      </c>
      <c r="D33" s="2" t="s">
        <v>39</v>
      </c>
      <c r="E33" s="2" t="s">
        <v>40</v>
      </c>
      <c r="F33" s="2" t="s">
        <v>17</v>
      </c>
      <c r="G33" s="2" t="s">
        <v>18</v>
      </c>
      <c r="H33" s="2" t="s">
        <v>25</v>
      </c>
      <c r="I33" s="2" t="s">
        <v>115</v>
      </c>
      <c r="J33" s="4" t="n">
        <v>24080</v>
      </c>
      <c r="K33" s="2" t="s">
        <v>56</v>
      </c>
      <c r="L33" s="2" t="s">
        <v>43</v>
      </c>
      <c r="M33" s="2" t="s">
        <v>116</v>
      </c>
    </row>
    <row r="34" customFormat="false" ht="15" hidden="false" customHeight="false" outlineLevel="0" collapsed="false">
      <c r="A34" s="2" t="s">
        <v>117</v>
      </c>
      <c r="B34" s="3" t="n">
        <v>46105</v>
      </c>
      <c r="C34" s="2" t="s">
        <v>38</v>
      </c>
      <c r="D34" s="2" t="s">
        <v>39</v>
      </c>
      <c r="E34" s="2" t="s">
        <v>40</v>
      </c>
      <c r="F34" s="2" t="s">
        <v>17</v>
      </c>
      <c r="G34" s="2" t="s">
        <v>18</v>
      </c>
      <c r="H34" s="2" t="s">
        <v>25</v>
      </c>
      <c r="I34" s="2" t="s">
        <v>115</v>
      </c>
      <c r="J34" s="4" t="n">
        <v>24080</v>
      </c>
      <c r="K34" s="2" t="s">
        <v>56</v>
      </c>
      <c r="L34" s="2" t="s">
        <v>43</v>
      </c>
      <c r="M34" s="2" t="s">
        <v>118</v>
      </c>
    </row>
    <row r="35" customFormat="false" ht="15" hidden="false" customHeight="false" outlineLevel="0" collapsed="false">
      <c r="A35" s="2" t="s">
        <v>119</v>
      </c>
      <c r="B35" s="3" t="n">
        <v>46105</v>
      </c>
      <c r="C35" s="2" t="s">
        <v>38</v>
      </c>
      <c r="D35" s="2" t="s">
        <v>39</v>
      </c>
      <c r="E35" s="2" t="s">
        <v>71</v>
      </c>
      <c r="F35" s="2" t="s">
        <v>17</v>
      </c>
      <c r="G35" s="2" t="s">
        <v>18</v>
      </c>
      <c r="H35" s="2" t="s">
        <v>25</v>
      </c>
      <c r="I35" s="2" t="s">
        <v>115</v>
      </c>
      <c r="J35" s="4" t="n">
        <v>24080</v>
      </c>
      <c r="K35" s="2" t="s">
        <v>56</v>
      </c>
      <c r="L35" s="2" t="s">
        <v>43</v>
      </c>
      <c r="M35" s="2" t="s">
        <v>120</v>
      </c>
    </row>
    <row r="36" customFormat="false" ht="15" hidden="false" customHeight="false" outlineLevel="0" collapsed="false">
      <c r="A36" s="2" t="s">
        <v>121</v>
      </c>
      <c r="B36" s="3" t="n">
        <v>46105</v>
      </c>
      <c r="C36" s="2" t="s">
        <v>38</v>
      </c>
      <c r="D36" s="2" t="s">
        <v>15</v>
      </c>
      <c r="E36" s="2" t="s">
        <v>46</v>
      </c>
      <c r="F36" s="2" t="s">
        <v>41</v>
      </c>
      <c r="G36" s="2" t="s">
        <v>18</v>
      </c>
      <c r="H36" s="2"/>
      <c r="I36" s="2" t="s">
        <v>42</v>
      </c>
      <c r="J36" s="4"/>
      <c r="K36" s="2"/>
      <c r="L36" s="2" t="s">
        <v>43</v>
      </c>
      <c r="M36" s="2" t="s">
        <v>122</v>
      </c>
    </row>
    <row r="37" customFormat="false" ht="15" hidden="false" customHeight="false" outlineLevel="0" collapsed="false">
      <c r="A37" s="2" t="s">
        <v>123</v>
      </c>
      <c r="B37" s="3" t="n">
        <v>46105</v>
      </c>
      <c r="C37" s="2" t="s">
        <v>38</v>
      </c>
      <c r="D37" s="2" t="s">
        <v>15</v>
      </c>
      <c r="E37" s="2" t="s">
        <v>46</v>
      </c>
      <c r="F37" s="2" t="s">
        <v>41</v>
      </c>
      <c r="G37" s="2" t="s">
        <v>18</v>
      </c>
      <c r="H37" s="2"/>
      <c r="I37" s="2" t="s">
        <v>42</v>
      </c>
      <c r="J37" s="4"/>
      <c r="K37" s="2"/>
      <c r="L37" s="2" t="s">
        <v>43</v>
      </c>
      <c r="M37" s="2" t="s">
        <v>124</v>
      </c>
    </row>
    <row r="38" customFormat="false" ht="15" hidden="false" customHeight="false" outlineLevel="0" collapsed="false">
      <c r="A38" s="2" t="s">
        <v>125</v>
      </c>
      <c r="B38" s="3" t="n">
        <v>46105</v>
      </c>
      <c r="C38" s="2" t="s">
        <v>38</v>
      </c>
      <c r="D38" s="2" t="s">
        <v>39</v>
      </c>
      <c r="E38" s="2" t="s">
        <v>46</v>
      </c>
      <c r="F38" s="2" t="s">
        <v>41</v>
      </c>
      <c r="G38" s="2" t="s">
        <v>18</v>
      </c>
      <c r="H38" s="2"/>
      <c r="I38" s="2" t="s">
        <v>126</v>
      </c>
      <c r="J38" s="4"/>
      <c r="K38" s="2"/>
      <c r="L38" s="2" t="s">
        <v>43</v>
      </c>
      <c r="M38" s="2" t="s">
        <v>127</v>
      </c>
    </row>
    <row r="39" customFormat="false" ht="15" hidden="false" customHeight="false" outlineLevel="0" collapsed="false">
      <c r="A39" s="2" t="s">
        <v>128</v>
      </c>
      <c r="B39" s="3" t="n">
        <v>46105</v>
      </c>
      <c r="C39" s="2" t="s">
        <v>38</v>
      </c>
      <c r="D39" s="2" t="s">
        <v>15</v>
      </c>
      <c r="E39" s="2" t="s">
        <v>40</v>
      </c>
      <c r="F39" s="2" t="s">
        <v>59</v>
      </c>
      <c r="G39" s="2" t="s">
        <v>33</v>
      </c>
      <c r="H39" s="2" t="s">
        <v>25</v>
      </c>
      <c r="I39" s="2" t="s">
        <v>129</v>
      </c>
      <c r="J39" s="4" t="n">
        <v>24080</v>
      </c>
      <c r="K39" s="2" t="s">
        <v>21</v>
      </c>
      <c r="L39" s="2" t="s">
        <v>43</v>
      </c>
      <c r="M39" s="2" t="s">
        <v>130</v>
      </c>
    </row>
    <row r="40" customFormat="false" ht="15" hidden="false" customHeight="false" outlineLevel="0" collapsed="false">
      <c r="A40" s="2" t="s">
        <v>131</v>
      </c>
      <c r="B40" s="3" t="n">
        <v>46106</v>
      </c>
      <c r="C40" s="2" t="s">
        <v>38</v>
      </c>
      <c r="D40" s="2" t="s">
        <v>15</v>
      </c>
      <c r="E40" s="2" t="s">
        <v>46</v>
      </c>
      <c r="F40" s="2" t="s">
        <v>41</v>
      </c>
      <c r="G40" s="2" t="s">
        <v>18</v>
      </c>
      <c r="H40" s="2"/>
      <c r="I40" s="2" t="s">
        <v>42</v>
      </c>
      <c r="J40" s="4"/>
      <c r="K40" s="2"/>
      <c r="L40" s="2" t="s">
        <v>43</v>
      </c>
      <c r="M40" s="2" t="s">
        <v>132</v>
      </c>
    </row>
    <row r="41" customFormat="false" ht="15" hidden="false" customHeight="false" outlineLevel="0" collapsed="false">
      <c r="A41" s="2" t="s">
        <v>133</v>
      </c>
      <c r="B41" s="3" t="n">
        <v>46106</v>
      </c>
      <c r="C41" s="2" t="s">
        <v>38</v>
      </c>
      <c r="D41" s="2" t="s">
        <v>15</v>
      </c>
      <c r="E41" s="2" t="s">
        <v>46</v>
      </c>
      <c r="F41" s="2" t="s">
        <v>41</v>
      </c>
      <c r="G41" s="2" t="s">
        <v>18</v>
      </c>
      <c r="H41" s="2"/>
      <c r="I41" s="2" t="s">
        <v>42</v>
      </c>
      <c r="J41" s="4"/>
      <c r="K41" s="2"/>
      <c r="L41" s="2" t="s">
        <v>43</v>
      </c>
      <c r="M41" s="2" t="s">
        <v>134</v>
      </c>
    </row>
    <row r="42" customFormat="false" ht="15" hidden="false" customHeight="false" outlineLevel="0" collapsed="false">
      <c r="A42" s="2" t="s">
        <v>135</v>
      </c>
      <c r="B42" s="3" t="n">
        <v>46106</v>
      </c>
      <c r="C42" s="2" t="s">
        <v>38</v>
      </c>
      <c r="D42" s="2" t="s">
        <v>39</v>
      </c>
      <c r="E42" s="2" t="s">
        <v>46</v>
      </c>
      <c r="F42" s="2" t="s">
        <v>41</v>
      </c>
      <c r="G42" s="2" t="s">
        <v>18</v>
      </c>
      <c r="H42" s="2"/>
      <c r="I42" s="2" t="s">
        <v>42</v>
      </c>
      <c r="J42" s="4"/>
      <c r="K42" s="2"/>
      <c r="L42" s="2" t="s">
        <v>43</v>
      </c>
      <c r="M42" s="2" t="s">
        <v>136</v>
      </c>
    </row>
    <row r="43" customFormat="false" ht="15" hidden="false" customHeight="false" outlineLevel="0" collapsed="false">
      <c r="A43" s="2" t="s">
        <v>137</v>
      </c>
      <c r="B43" s="3" t="n">
        <v>46106</v>
      </c>
      <c r="C43" s="2" t="s">
        <v>38</v>
      </c>
      <c r="D43" s="2" t="s">
        <v>39</v>
      </c>
      <c r="E43" s="2" t="s">
        <v>40</v>
      </c>
      <c r="F43" s="2" t="s">
        <v>41</v>
      </c>
      <c r="G43" s="2" t="s">
        <v>18</v>
      </c>
      <c r="H43" s="2"/>
      <c r="I43" s="2" t="s">
        <v>138</v>
      </c>
      <c r="J43" s="4"/>
      <c r="K43" s="2"/>
      <c r="L43" s="2" t="s">
        <v>43</v>
      </c>
      <c r="M43" s="2" t="s">
        <v>139</v>
      </c>
    </row>
    <row r="44" customFormat="false" ht="15" hidden="false" customHeight="false" outlineLevel="0" collapsed="false">
      <c r="A44" s="2" t="s">
        <v>140</v>
      </c>
      <c r="B44" s="3" t="n">
        <v>46106</v>
      </c>
      <c r="C44" s="2" t="s">
        <v>38</v>
      </c>
      <c r="D44" s="2" t="s">
        <v>39</v>
      </c>
      <c r="E44" s="2" t="s">
        <v>40</v>
      </c>
      <c r="F44" s="2" t="s">
        <v>41</v>
      </c>
      <c r="G44" s="2" t="s">
        <v>18</v>
      </c>
      <c r="H44" s="2"/>
      <c r="I44" s="2" t="s">
        <v>42</v>
      </c>
      <c r="J44" s="4"/>
      <c r="K44" s="2"/>
      <c r="L44" s="2" t="s">
        <v>43</v>
      </c>
      <c r="M44" s="2" t="s">
        <v>141</v>
      </c>
    </row>
    <row r="45" customFormat="false" ht="15" hidden="false" customHeight="false" outlineLevel="0" collapsed="false">
      <c r="A45" s="2" t="s">
        <v>142</v>
      </c>
      <c r="B45" s="3" t="n">
        <v>46106</v>
      </c>
      <c r="C45" s="2" t="s">
        <v>38</v>
      </c>
      <c r="D45" s="2" t="s">
        <v>39</v>
      </c>
      <c r="E45" s="2" t="s">
        <v>40</v>
      </c>
      <c r="F45" s="2" t="s">
        <v>17</v>
      </c>
      <c r="G45" s="2" t="s">
        <v>18</v>
      </c>
      <c r="H45" s="2" t="s">
        <v>19</v>
      </c>
      <c r="I45" s="2" t="s">
        <v>138</v>
      </c>
      <c r="J45" s="4" t="n">
        <v>15770</v>
      </c>
      <c r="K45" s="2" t="s">
        <v>56</v>
      </c>
      <c r="L45" s="2" t="s">
        <v>43</v>
      </c>
      <c r="M45" s="2" t="s">
        <v>143</v>
      </c>
    </row>
    <row r="46" customFormat="false" ht="15" hidden="false" customHeight="false" outlineLevel="0" collapsed="false">
      <c r="A46" s="2" t="s">
        <v>144</v>
      </c>
      <c r="B46" s="3" t="n">
        <v>46106</v>
      </c>
      <c r="C46" s="2" t="s">
        <v>38</v>
      </c>
      <c r="D46" s="2" t="s">
        <v>39</v>
      </c>
      <c r="E46" s="2" t="s">
        <v>40</v>
      </c>
      <c r="F46" s="2" t="s">
        <v>41</v>
      </c>
      <c r="G46" s="2" t="s">
        <v>18</v>
      </c>
      <c r="H46" s="2"/>
      <c r="I46" s="2" t="s">
        <v>138</v>
      </c>
      <c r="J46" s="4"/>
      <c r="K46" s="2"/>
      <c r="L46" s="2" t="s">
        <v>43</v>
      </c>
      <c r="M46" s="2" t="s">
        <v>145</v>
      </c>
    </row>
    <row r="47" customFormat="false" ht="15" hidden="false" customHeight="false" outlineLevel="0" collapsed="false">
      <c r="A47" s="2" t="s">
        <v>146</v>
      </c>
      <c r="B47" s="3" t="n">
        <v>46106</v>
      </c>
      <c r="C47" s="2" t="s">
        <v>38</v>
      </c>
      <c r="D47" s="2" t="s">
        <v>39</v>
      </c>
      <c r="E47" s="2" t="s">
        <v>40</v>
      </c>
      <c r="F47" s="2" t="s">
        <v>41</v>
      </c>
      <c r="G47" s="2" t="s">
        <v>18</v>
      </c>
      <c r="H47" s="2"/>
      <c r="I47" s="2" t="s">
        <v>115</v>
      </c>
      <c r="J47" s="4"/>
      <c r="K47" s="2"/>
      <c r="L47" s="2" t="s">
        <v>43</v>
      </c>
      <c r="M47" s="2" t="s">
        <v>147</v>
      </c>
    </row>
    <row r="48" customFormat="false" ht="15" hidden="false" customHeight="false" outlineLevel="0" collapsed="false">
      <c r="A48" s="2" t="s">
        <v>148</v>
      </c>
      <c r="B48" s="3" t="n">
        <v>46106</v>
      </c>
      <c r="C48" s="2" t="s">
        <v>38</v>
      </c>
      <c r="D48" s="2" t="s">
        <v>39</v>
      </c>
      <c r="E48" s="2" t="s">
        <v>40</v>
      </c>
      <c r="F48" s="2" t="s">
        <v>41</v>
      </c>
      <c r="G48" s="2" t="s">
        <v>18</v>
      </c>
      <c r="H48" s="2"/>
      <c r="I48" s="2" t="s">
        <v>138</v>
      </c>
      <c r="J48" s="4"/>
      <c r="K48" s="2"/>
      <c r="L48" s="2" t="s">
        <v>43</v>
      </c>
      <c r="M48" s="2" t="s">
        <v>149</v>
      </c>
    </row>
    <row r="49" customFormat="false" ht="15" hidden="false" customHeight="false" outlineLevel="0" collapsed="false">
      <c r="A49" s="2" t="s">
        <v>150</v>
      </c>
      <c r="B49" s="3" t="n">
        <v>46106</v>
      </c>
      <c r="C49" s="2" t="s">
        <v>38</v>
      </c>
      <c r="D49" s="2" t="s">
        <v>39</v>
      </c>
      <c r="E49" s="2" t="s">
        <v>40</v>
      </c>
      <c r="F49" s="2" t="s">
        <v>41</v>
      </c>
      <c r="G49" s="2" t="s">
        <v>18</v>
      </c>
      <c r="H49" s="2"/>
      <c r="I49" s="2" t="s">
        <v>115</v>
      </c>
      <c r="J49" s="4"/>
      <c r="K49" s="2"/>
      <c r="L49" s="2" t="s">
        <v>43</v>
      </c>
      <c r="M49" s="2" t="s">
        <v>151</v>
      </c>
    </row>
    <row r="50" customFormat="false" ht="15" hidden="false" customHeight="false" outlineLevel="0" collapsed="false">
      <c r="A50" s="2" t="s">
        <v>152</v>
      </c>
      <c r="B50" s="3" t="n">
        <v>46106</v>
      </c>
      <c r="C50" s="2" t="s">
        <v>38</v>
      </c>
      <c r="D50" s="2" t="s">
        <v>39</v>
      </c>
      <c r="E50" s="2" t="s">
        <v>71</v>
      </c>
      <c r="F50" s="2" t="s">
        <v>41</v>
      </c>
      <c r="G50" s="2" t="s">
        <v>18</v>
      </c>
      <c r="H50" s="2"/>
      <c r="I50" s="2" t="s">
        <v>115</v>
      </c>
      <c r="J50" s="4"/>
      <c r="K50" s="2"/>
      <c r="L50" s="2" t="s">
        <v>43</v>
      </c>
      <c r="M50" s="2" t="s">
        <v>153</v>
      </c>
    </row>
    <row r="51" customFormat="false" ht="15" hidden="false" customHeight="false" outlineLevel="0" collapsed="false">
      <c r="A51" s="2" t="s">
        <v>154</v>
      </c>
      <c r="B51" s="3" t="n">
        <v>46106</v>
      </c>
      <c r="C51" s="2" t="s">
        <v>38</v>
      </c>
      <c r="D51" s="2" t="s">
        <v>39</v>
      </c>
      <c r="E51" s="2" t="s">
        <v>71</v>
      </c>
      <c r="F51" s="2" t="s">
        <v>41</v>
      </c>
      <c r="G51" s="2" t="s">
        <v>18</v>
      </c>
      <c r="H51" s="2"/>
      <c r="I51" s="2" t="s">
        <v>42</v>
      </c>
      <c r="J51" s="4"/>
      <c r="K51" s="2"/>
      <c r="L51" s="2" t="s">
        <v>43</v>
      </c>
      <c r="M51" s="2" t="s">
        <v>155</v>
      </c>
    </row>
    <row r="52" customFormat="false" ht="15" hidden="false" customHeight="false" outlineLevel="0" collapsed="false">
      <c r="A52" s="2" t="s">
        <v>156</v>
      </c>
      <c r="B52" s="3" t="n">
        <v>46107</v>
      </c>
      <c r="C52" s="2" t="s">
        <v>38</v>
      </c>
      <c r="D52" s="2" t="s">
        <v>15</v>
      </c>
      <c r="E52" s="2" t="s">
        <v>46</v>
      </c>
      <c r="F52" s="2" t="s">
        <v>41</v>
      </c>
      <c r="G52" s="2" t="s">
        <v>18</v>
      </c>
      <c r="H52" s="2"/>
      <c r="I52" s="2" t="s">
        <v>42</v>
      </c>
      <c r="J52" s="4"/>
      <c r="K52" s="2"/>
      <c r="L52" s="2" t="s">
        <v>43</v>
      </c>
      <c r="M52" s="2" t="s">
        <v>157</v>
      </c>
    </row>
    <row r="53" customFormat="false" ht="15" hidden="false" customHeight="false" outlineLevel="0" collapsed="false">
      <c r="A53" s="2" t="s">
        <v>158</v>
      </c>
      <c r="B53" s="3" t="n">
        <v>46107</v>
      </c>
      <c r="C53" s="2" t="s">
        <v>38</v>
      </c>
      <c r="D53" s="2" t="s">
        <v>39</v>
      </c>
      <c r="E53" s="2" t="s">
        <v>40</v>
      </c>
      <c r="F53" s="2" t="s">
        <v>41</v>
      </c>
      <c r="G53" s="2" t="s">
        <v>18</v>
      </c>
      <c r="H53" s="2"/>
      <c r="I53" s="2" t="s">
        <v>138</v>
      </c>
      <c r="J53" s="4"/>
      <c r="K53" s="2"/>
      <c r="L53" s="2" t="s">
        <v>43</v>
      </c>
      <c r="M53" s="2" t="s">
        <v>159</v>
      </c>
    </row>
    <row r="54" customFormat="false" ht="15" hidden="false" customHeight="false" outlineLevel="0" collapsed="false">
      <c r="A54" s="2" t="s">
        <v>160</v>
      </c>
      <c r="B54" s="3" t="n">
        <v>46107</v>
      </c>
      <c r="C54" s="2" t="s">
        <v>38</v>
      </c>
      <c r="D54" s="2" t="s">
        <v>39</v>
      </c>
      <c r="E54" s="2" t="s">
        <v>40</v>
      </c>
      <c r="F54" s="2" t="s">
        <v>17</v>
      </c>
      <c r="G54" s="2" t="s">
        <v>18</v>
      </c>
      <c r="H54" s="2" t="s">
        <v>161</v>
      </c>
      <c r="I54" s="2" t="s">
        <v>42</v>
      </c>
      <c r="J54" s="4" t="n">
        <v>76640</v>
      </c>
      <c r="K54" s="2" t="s">
        <v>56</v>
      </c>
      <c r="L54" s="2" t="s">
        <v>162</v>
      </c>
      <c r="M54" s="2" t="s">
        <v>163</v>
      </c>
    </row>
    <row r="55" customFormat="false" ht="15" hidden="false" customHeight="false" outlineLevel="0" collapsed="false">
      <c r="A55" s="2" t="s">
        <v>164</v>
      </c>
      <c r="B55" s="3" t="n">
        <v>46107</v>
      </c>
      <c r="C55" s="2" t="s">
        <v>38</v>
      </c>
      <c r="D55" s="2" t="s">
        <v>39</v>
      </c>
      <c r="E55" s="2" t="s">
        <v>40</v>
      </c>
      <c r="F55" s="2" t="s">
        <v>17</v>
      </c>
      <c r="G55" s="2" t="s">
        <v>18</v>
      </c>
      <c r="H55" s="2" t="s">
        <v>60</v>
      </c>
      <c r="I55" s="2" t="s">
        <v>42</v>
      </c>
      <c r="J55" s="4"/>
      <c r="K55" s="2"/>
      <c r="L55" s="2" t="s">
        <v>162</v>
      </c>
      <c r="M55" s="2" t="s">
        <v>165</v>
      </c>
    </row>
    <row r="56" customFormat="false" ht="15" hidden="false" customHeight="false" outlineLevel="0" collapsed="false">
      <c r="A56" s="2" t="s">
        <v>166</v>
      </c>
      <c r="B56" s="3" t="n">
        <v>46107</v>
      </c>
      <c r="C56" s="2" t="s">
        <v>38</v>
      </c>
      <c r="D56" s="2" t="s">
        <v>39</v>
      </c>
      <c r="E56" s="2" t="s">
        <v>40</v>
      </c>
      <c r="F56" s="2" t="s">
        <v>17</v>
      </c>
      <c r="G56" s="2" t="s">
        <v>18</v>
      </c>
      <c r="H56" s="2" t="s">
        <v>167</v>
      </c>
      <c r="I56" s="2" t="s">
        <v>42</v>
      </c>
      <c r="J56" s="4" t="n">
        <v>30800</v>
      </c>
      <c r="K56" s="2" t="s">
        <v>56</v>
      </c>
      <c r="L56" s="2" t="s">
        <v>162</v>
      </c>
      <c r="M56" s="2" t="s">
        <v>168</v>
      </c>
    </row>
    <row r="57" customFormat="false" ht="15" hidden="false" customHeight="false" outlineLevel="0" collapsed="false">
      <c r="A57" s="2" t="s">
        <v>169</v>
      </c>
      <c r="B57" s="3" t="n">
        <v>46107</v>
      </c>
      <c r="C57" s="2" t="s">
        <v>38</v>
      </c>
      <c r="D57" s="2" t="s">
        <v>39</v>
      </c>
      <c r="E57" s="2" t="s">
        <v>40</v>
      </c>
      <c r="F57" s="2" t="s">
        <v>17</v>
      </c>
      <c r="G57" s="2" t="s">
        <v>18</v>
      </c>
      <c r="H57" s="2" t="s">
        <v>170</v>
      </c>
      <c r="I57" s="2" t="s">
        <v>42</v>
      </c>
      <c r="J57" s="4" t="n">
        <v>9260</v>
      </c>
      <c r="K57" s="2" t="s">
        <v>56</v>
      </c>
      <c r="L57" s="2" t="s">
        <v>162</v>
      </c>
      <c r="M57" s="2" t="s">
        <v>171</v>
      </c>
    </row>
    <row r="58" customFormat="false" ht="15" hidden="false" customHeight="false" outlineLevel="0" collapsed="false">
      <c r="A58" s="2" t="s">
        <v>172</v>
      </c>
      <c r="B58" s="3" t="n">
        <v>46107</v>
      </c>
      <c r="C58" s="2" t="s">
        <v>38</v>
      </c>
      <c r="D58" s="2" t="s">
        <v>39</v>
      </c>
      <c r="E58" s="2" t="s">
        <v>40</v>
      </c>
      <c r="F58" s="2" t="s">
        <v>17</v>
      </c>
      <c r="G58" s="2" t="s">
        <v>18</v>
      </c>
      <c r="H58" s="2" t="s">
        <v>173</v>
      </c>
      <c r="I58" s="2" t="s">
        <v>42</v>
      </c>
      <c r="J58" s="4" t="n">
        <v>523690</v>
      </c>
      <c r="K58" s="2" t="s">
        <v>56</v>
      </c>
      <c r="L58" s="2" t="s">
        <v>162</v>
      </c>
      <c r="M58" s="2" t="s">
        <v>174</v>
      </c>
    </row>
    <row r="59" customFormat="false" ht="15" hidden="false" customHeight="false" outlineLevel="0" collapsed="false">
      <c r="A59" s="2" t="s">
        <v>175</v>
      </c>
      <c r="B59" s="3" t="n">
        <v>46107</v>
      </c>
      <c r="C59" s="2" t="s">
        <v>38</v>
      </c>
      <c r="D59" s="2" t="s">
        <v>39</v>
      </c>
      <c r="E59" s="2" t="s">
        <v>40</v>
      </c>
      <c r="F59" s="2" t="s">
        <v>17</v>
      </c>
      <c r="G59" s="2" t="s">
        <v>18</v>
      </c>
      <c r="H59" s="2" t="s">
        <v>60</v>
      </c>
      <c r="I59" s="2" t="s">
        <v>42</v>
      </c>
      <c r="J59" s="4"/>
      <c r="K59" s="2"/>
      <c r="L59" s="2" t="s">
        <v>162</v>
      </c>
      <c r="M59" s="2" t="s">
        <v>176</v>
      </c>
    </row>
    <row r="60" customFormat="false" ht="15" hidden="false" customHeight="false" outlineLevel="0" collapsed="false">
      <c r="A60" s="2" t="s">
        <v>177</v>
      </c>
      <c r="B60" s="3" t="n">
        <v>46107</v>
      </c>
      <c r="C60" s="2" t="s">
        <v>38</v>
      </c>
      <c r="D60" s="2" t="s">
        <v>39</v>
      </c>
      <c r="E60" s="2" t="s">
        <v>40</v>
      </c>
      <c r="F60" s="2" t="s">
        <v>17</v>
      </c>
      <c r="G60" s="2" t="s">
        <v>18</v>
      </c>
      <c r="H60" s="2" t="s">
        <v>60</v>
      </c>
      <c r="I60" s="2" t="s">
        <v>42</v>
      </c>
      <c r="J60" s="4"/>
      <c r="K60" s="2"/>
      <c r="L60" s="2" t="s">
        <v>162</v>
      </c>
      <c r="M60" s="2" t="s">
        <v>178</v>
      </c>
    </row>
    <row r="61" customFormat="false" ht="15" hidden="false" customHeight="false" outlineLevel="0" collapsed="false">
      <c r="A61" s="2" t="s">
        <v>179</v>
      </c>
      <c r="B61" s="3" t="n">
        <v>46107</v>
      </c>
      <c r="C61" s="2" t="s">
        <v>38</v>
      </c>
      <c r="D61" s="2" t="s">
        <v>39</v>
      </c>
      <c r="E61" s="2" t="s">
        <v>40</v>
      </c>
      <c r="F61" s="2" t="s">
        <v>41</v>
      </c>
      <c r="G61" s="2" t="s">
        <v>18</v>
      </c>
      <c r="H61" s="2"/>
      <c r="I61" s="2" t="s">
        <v>42</v>
      </c>
      <c r="J61" s="4"/>
      <c r="K61" s="2"/>
      <c r="L61" s="2" t="s">
        <v>162</v>
      </c>
      <c r="M61" s="2" t="s">
        <v>180</v>
      </c>
    </row>
    <row r="62" customFormat="false" ht="15" hidden="false" customHeight="false" outlineLevel="0" collapsed="false">
      <c r="A62" s="2" t="s">
        <v>181</v>
      </c>
      <c r="B62" s="3" t="n">
        <v>46107</v>
      </c>
      <c r="C62" s="2" t="s">
        <v>38</v>
      </c>
      <c r="D62" s="2" t="s">
        <v>39</v>
      </c>
      <c r="E62" s="2" t="s">
        <v>40</v>
      </c>
      <c r="F62" s="2" t="s">
        <v>17</v>
      </c>
      <c r="G62" s="2" t="s">
        <v>18</v>
      </c>
      <c r="H62" s="2" t="s">
        <v>182</v>
      </c>
      <c r="I62" s="2" t="s">
        <v>42</v>
      </c>
      <c r="J62" s="4" t="n">
        <v>183560</v>
      </c>
      <c r="K62" s="2" t="s">
        <v>56</v>
      </c>
      <c r="L62" s="2" t="s">
        <v>162</v>
      </c>
      <c r="M62" s="2" t="s">
        <v>183</v>
      </c>
    </row>
  </sheetData>
  <autoFilter ref="A1:M6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1"/>
    <col collapsed="false" customWidth="true" hidden="false" outlineLevel="0" max="4" min="4" style="0" width="10"/>
    <col collapsed="false" customWidth="true" hidden="false" outlineLevel="0" max="5" min="5" style="0" width="15"/>
    <col collapsed="false" customWidth="true" hidden="false" outlineLevel="0" max="6" min="6" style="0" width="14"/>
    <col collapsed="false" customWidth="true" hidden="false" outlineLevel="0" max="7" min="7" style="0" width="20"/>
    <col collapsed="false" customWidth="true" hidden="false" outlineLevel="0" max="8" min="8" style="0" width="26"/>
    <col collapsed="false" customWidth="true" hidden="false" outlineLevel="0" max="9" min="9" style="0" width="11"/>
    <col collapsed="false" customWidth="true" hidden="false" outlineLevel="0" max="10" min="10" style="0" width="62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184</v>
      </c>
      <c r="H1" s="1" t="s">
        <v>185</v>
      </c>
      <c r="I1" s="1" t="s">
        <v>6</v>
      </c>
      <c r="J1" s="1" t="s">
        <v>12</v>
      </c>
    </row>
    <row r="2" customFormat="false" ht="15" hidden="false" customHeight="false" outlineLevel="0" collapsed="false">
      <c r="A2" s="2" t="s">
        <v>13</v>
      </c>
      <c r="B2" s="3" t="n">
        <v>46048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19</v>
      </c>
      <c r="H2" s="2" t="s">
        <v>138</v>
      </c>
      <c r="I2" s="2" t="s">
        <v>18</v>
      </c>
      <c r="J2" s="2" t="s">
        <v>23</v>
      </c>
    </row>
    <row r="3" customFormat="false" ht="15" hidden="false" customHeight="false" outlineLevel="0" collapsed="false">
      <c r="A3" s="2" t="s">
        <v>13</v>
      </c>
      <c r="B3" s="3" t="n">
        <v>46048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19</v>
      </c>
      <c r="H3" s="2" t="s">
        <v>126</v>
      </c>
      <c r="I3" s="2" t="s">
        <v>18</v>
      </c>
      <c r="J3" s="2" t="s">
        <v>23</v>
      </c>
    </row>
    <row r="4" customFormat="false" ht="15" hidden="false" customHeight="false" outlineLevel="0" collapsed="false">
      <c r="A4" s="2" t="s">
        <v>13</v>
      </c>
      <c r="B4" s="3" t="n">
        <v>46048</v>
      </c>
      <c r="C4" s="2" t="s">
        <v>14</v>
      </c>
      <c r="D4" s="2" t="s">
        <v>15</v>
      </c>
      <c r="E4" s="2" t="s">
        <v>16</v>
      </c>
      <c r="F4" s="2" t="s">
        <v>17</v>
      </c>
      <c r="G4" s="2" t="s">
        <v>19</v>
      </c>
      <c r="H4" s="2" t="s">
        <v>186</v>
      </c>
      <c r="I4" s="2" t="s">
        <v>18</v>
      </c>
      <c r="J4" s="2" t="s">
        <v>23</v>
      </c>
    </row>
    <row r="5" customFormat="false" ht="15" hidden="false" customHeight="false" outlineLevel="0" collapsed="false">
      <c r="A5" s="2" t="s">
        <v>24</v>
      </c>
      <c r="B5" s="3" t="n">
        <v>46052</v>
      </c>
      <c r="C5" s="2" t="s">
        <v>14</v>
      </c>
      <c r="D5" s="2" t="s">
        <v>15</v>
      </c>
      <c r="E5" s="2" t="s">
        <v>16</v>
      </c>
      <c r="F5" s="2" t="s">
        <v>17</v>
      </c>
      <c r="G5" s="2" t="s">
        <v>25</v>
      </c>
      <c r="H5" s="2" t="s">
        <v>138</v>
      </c>
      <c r="I5" s="2" t="s">
        <v>18</v>
      </c>
      <c r="J5" s="2" t="s">
        <v>26</v>
      </c>
    </row>
    <row r="6" customFormat="false" ht="15" hidden="false" customHeight="false" outlineLevel="0" collapsed="false">
      <c r="A6" s="2" t="s">
        <v>24</v>
      </c>
      <c r="B6" s="3" t="n">
        <v>46052</v>
      </c>
      <c r="C6" s="2" t="s">
        <v>14</v>
      </c>
      <c r="D6" s="2" t="s">
        <v>15</v>
      </c>
      <c r="E6" s="2" t="s">
        <v>16</v>
      </c>
      <c r="F6" s="2" t="s">
        <v>17</v>
      </c>
      <c r="G6" s="2" t="s">
        <v>25</v>
      </c>
      <c r="H6" s="2" t="s">
        <v>126</v>
      </c>
      <c r="I6" s="2" t="s">
        <v>18</v>
      </c>
      <c r="J6" s="2" t="s">
        <v>26</v>
      </c>
    </row>
    <row r="7" customFormat="false" ht="15" hidden="false" customHeight="false" outlineLevel="0" collapsed="false">
      <c r="A7" s="2" t="s">
        <v>24</v>
      </c>
      <c r="B7" s="3" t="n">
        <v>46052</v>
      </c>
      <c r="C7" s="2" t="s">
        <v>14</v>
      </c>
      <c r="D7" s="2" t="s">
        <v>15</v>
      </c>
      <c r="E7" s="2" t="s">
        <v>16</v>
      </c>
      <c r="F7" s="2" t="s">
        <v>17</v>
      </c>
      <c r="G7" s="2" t="s">
        <v>25</v>
      </c>
      <c r="H7" s="2" t="s">
        <v>186</v>
      </c>
      <c r="I7" s="2" t="s">
        <v>18</v>
      </c>
      <c r="J7" s="2" t="s">
        <v>26</v>
      </c>
    </row>
    <row r="8" customFormat="false" ht="15" hidden="false" customHeight="false" outlineLevel="0" collapsed="false">
      <c r="A8" s="2" t="s">
        <v>27</v>
      </c>
      <c r="B8" s="3" t="n">
        <v>46060</v>
      </c>
      <c r="C8" s="2" t="s">
        <v>28</v>
      </c>
      <c r="D8" s="2" t="s">
        <v>15</v>
      </c>
      <c r="E8" s="2" t="s">
        <v>16</v>
      </c>
      <c r="F8" s="2" t="s">
        <v>17</v>
      </c>
      <c r="G8" s="2" t="s">
        <v>29</v>
      </c>
      <c r="H8" s="2" t="s">
        <v>138</v>
      </c>
      <c r="I8" s="2" t="s">
        <v>18</v>
      </c>
      <c r="J8" s="2" t="s">
        <v>30</v>
      </c>
    </row>
    <row r="9" customFormat="false" ht="15" hidden="false" customHeight="false" outlineLevel="0" collapsed="false">
      <c r="A9" s="2" t="s">
        <v>27</v>
      </c>
      <c r="B9" s="3" t="n">
        <v>46060</v>
      </c>
      <c r="C9" s="2" t="s">
        <v>28</v>
      </c>
      <c r="D9" s="2" t="s">
        <v>15</v>
      </c>
      <c r="E9" s="2" t="s">
        <v>16</v>
      </c>
      <c r="F9" s="2" t="s">
        <v>17</v>
      </c>
      <c r="G9" s="2" t="s">
        <v>29</v>
      </c>
      <c r="H9" s="2" t="s">
        <v>126</v>
      </c>
      <c r="I9" s="2" t="s">
        <v>18</v>
      </c>
      <c r="J9" s="2" t="s">
        <v>30</v>
      </c>
    </row>
    <row r="10" customFormat="false" ht="15" hidden="false" customHeight="false" outlineLevel="0" collapsed="false">
      <c r="A10" s="2" t="s">
        <v>27</v>
      </c>
      <c r="B10" s="3" t="n">
        <v>46060</v>
      </c>
      <c r="C10" s="2" t="s">
        <v>28</v>
      </c>
      <c r="D10" s="2" t="s">
        <v>15</v>
      </c>
      <c r="E10" s="2" t="s">
        <v>16</v>
      </c>
      <c r="F10" s="2" t="s">
        <v>17</v>
      </c>
      <c r="G10" s="2" t="s">
        <v>29</v>
      </c>
      <c r="H10" s="2" t="s">
        <v>186</v>
      </c>
      <c r="I10" s="2" t="s">
        <v>18</v>
      </c>
      <c r="J10" s="2" t="s">
        <v>30</v>
      </c>
    </row>
    <row r="11" customFormat="false" ht="15" hidden="false" customHeight="false" outlineLevel="0" collapsed="false">
      <c r="A11" s="2" t="s">
        <v>31</v>
      </c>
      <c r="B11" s="3" t="n">
        <v>46067</v>
      </c>
      <c r="C11" s="2" t="s">
        <v>28</v>
      </c>
      <c r="D11" s="2" t="s">
        <v>15</v>
      </c>
      <c r="E11" s="2" t="s">
        <v>16</v>
      </c>
      <c r="F11" s="2" t="s">
        <v>32</v>
      </c>
      <c r="G11" s="2" t="s">
        <v>34</v>
      </c>
      <c r="H11" s="2" t="s">
        <v>126</v>
      </c>
      <c r="I11" s="2" t="s">
        <v>18</v>
      </c>
      <c r="J11" s="2" t="s">
        <v>36</v>
      </c>
    </row>
    <row r="12" customFormat="false" ht="15" hidden="false" customHeight="false" outlineLevel="0" collapsed="false">
      <c r="A12" s="2" t="s">
        <v>31</v>
      </c>
      <c r="B12" s="3" t="n">
        <v>46067</v>
      </c>
      <c r="C12" s="2" t="s">
        <v>28</v>
      </c>
      <c r="D12" s="2" t="s">
        <v>15</v>
      </c>
      <c r="E12" s="2" t="s">
        <v>16</v>
      </c>
      <c r="F12" s="2" t="s">
        <v>32</v>
      </c>
      <c r="G12" s="2" t="s">
        <v>34</v>
      </c>
      <c r="H12" s="2" t="s">
        <v>187</v>
      </c>
      <c r="I12" s="2" t="s">
        <v>18</v>
      </c>
      <c r="J12" s="2" t="s">
        <v>36</v>
      </c>
    </row>
    <row r="13" customFormat="false" ht="15" hidden="false" customHeight="false" outlineLevel="0" collapsed="false">
      <c r="A13" s="2" t="s">
        <v>31</v>
      </c>
      <c r="B13" s="3" t="n">
        <v>46067</v>
      </c>
      <c r="C13" s="2" t="s">
        <v>28</v>
      </c>
      <c r="D13" s="2" t="s">
        <v>15</v>
      </c>
      <c r="E13" s="2" t="s">
        <v>16</v>
      </c>
      <c r="F13" s="2" t="s">
        <v>32</v>
      </c>
      <c r="G13" s="2" t="s">
        <v>34</v>
      </c>
      <c r="H13" s="2" t="s">
        <v>188</v>
      </c>
      <c r="I13" s="2" t="s">
        <v>33</v>
      </c>
      <c r="J13" s="2" t="s">
        <v>36</v>
      </c>
    </row>
    <row r="14" customFormat="false" ht="15" hidden="false" customHeight="false" outlineLevel="0" collapsed="false">
      <c r="A14" s="2" t="s">
        <v>37</v>
      </c>
      <c r="B14" s="3" t="n">
        <v>46093</v>
      </c>
      <c r="C14" s="2" t="s">
        <v>38</v>
      </c>
      <c r="D14" s="2" t="s">
        <v>39</v>
      </c>
      <c r="E14" s="2" t="s">
        <v>40</v>
      </c>
      <c r="F14" s="2" t="s">
        <v>41</v>
      </c>
      <c r="G14" s="2"/>
      <c r="H14" s="2" t="s">
        <v>42</v>
      </c>
      <c r="I14" s="2" t="s">
        <v>18</v>
      </c>
      <c r="J14" s="2" t="s">
        <v>44</v>
      </c>
    </row>
    <row r="15" customFormat="false" ht="15" hidden="false" customHeight="false" outlineLevel="0" collapsed="false">
      <c r="A15" s="2" t="s">
        <v>45</v>
      </c>
      <c r="B15" s="3" t="n">
        <v>46094</v>
      </c>
      <c r="C15" s="2" t="s">
        <v>38</v>
      </c>
      <c r="D15" s="2" t="s">
        <v>15</v>
      </c>
      <c r="E15" s="2" t="s">
        <v>46</v>
      </c>
      <c r="F15" s="2" t="s">
        <v>41</v>
      </c>
      <c r="G15" s="2"/>
      <c r="H15" s="2" t="s">
        <v>42</v>
      </c>
      <c r="I15" s="2" t="s">
        <v>18</v>
      </c>
      <c r="J15" s="2" t="s">
        <v>47</v>
      </c>
    </row>
    <row r="16" customFormat="false" ht="15" hidden="false" customHeight="false" outlineLevel="0" collapsed="false">
      <c r="A16" s="2" t="s">
        <v>48</v>
      </c>
      <c r="B16" s="3" t="n">
        <v>46094</v>
      </c>
      <c r="C16" s="2" t="s">
        <v>38</v>
      </c>
      <c r="D16" s="2" t="s">
        <v>49</v>
      </c>
      <c r="E16" s="2" t="s">
        <v>16</v>
      </c>
      <c r="F16" s="2" t="s">
        <v>41</v>
      </c>
      <c r="G16" s="2"/>
      <c r="H16" s="2" t="s">
        <v>189</v>
      </c>
      <c r="I16" s="2" t="s">
        <v>18</v>
      </c>
      <c r="J16" s="2" t="s">
        <v>51</v>
      </c>
    </row>
    <row r="17" customFormat="false" ht="15" hidden="false" customHeight="false" outlineLevel="0" collapsed="false">
      <c r="A17" s="2" t="s">
        <v>48</v>
      </c>
      <c r="B17" s="3" t="n">
        <v>46094</v>
      </c>
      <c r="C17" s="2" t="s">
        <v>38</v>
      </c>
      <c r="D17" s="2" t="s">
        <v>49</v>
      </c>
      <c r="E17" s="2" t="s">
        <v>16</v>
      </c>
      <c r="F17" s="2" t="s">
        <v>41</v>
      </c>
      <c r="G17" s="2"/>
      <c r="H17" s="2" t="s">
        <v>190</v>
      </c>
      <c r="I17" s="2" t="s">
        <v>18</v>
      </c>
      <c r="J17" s="2" t="s">
        <v>51</v>
      </c>
    </row>
    <row r="18" customFormat="false" ht="15" hidden="false" customHeight="false" outlineLevel="0" collapsed="false">
      <c r="A18" s="2" t="s">
        <v>48</v>
      </c>
      <c r="B18" s="3" t="n">
        <v>46094</v>
      </c>
      <c r="C18" s="2" t="s">
        <v>38</v>
      </c>
      <c r="D18" s="2" t="s">
        <v>49</v>
      </c>
      <c r="E18" s="2" t="s">
        <v>16</v>
      </c>
      <c r="F18" s="2" t="s">
        <v>41</v>
      </c>
      <c r="G18" s="2"/>
      <c r="H18" s="2" t="s">
        <v>191</v>
      </c>
      <c r="I18" s="2" t="s">
        <v>18</v>
      </c>
      <c r="J18" s="2" t="s">
        <v>51</v>
      </c>
    </row>
    <row r="19" customFormat="false" ht="15" hidden="false" customHeight="false" outlineLevel="0" collapsed="false">
      <c r="A19" s="2" t="s">
        <v>48</v>
      </c>
      <c r="B19" s="3" t="n">
        <v>46094</v>
      </c>
      <c r="C19" s="2" t="s">
        <v>38</v>
      </c>
      <c r="D19" s="2" t="s">
        <v>49</v>
      </c>
      <c r="E19" s="2" t="s">
        <v>16</v>
      </c>
      <c r="F19" s="2" t="s">
        <v>41</v>
      </c>
      <c r="G19" s="2"/>
      <c r="H19" s="2" t="s">
        <v>192</v>
      </c>
      <c r="I19" s="2" t="s">
        <v>18</v>
      </c>
      <c r="J19" s="2" t="s">
        <v>51</v>
      </c>
    </row>
    <row r="20" customFormat="false" ht="15" hidden="false" customHeight="false" outlineLevel="0" collapsed="false">
      <c r="A20" s="2" t="s">
        <v>48</v>
      </c>
      <c r="B20" s="3" t="n">
        <v>46094</v>
      </c>
      <c r="C20" s="2" t="s">
        <v>38</v>
      </c>
      <c r="D20" s="2" t="s">
        <v>49</v>
      </c>
      <c r="E20" s="2" t="s">
        <v>16</v>
      </c>
      <c r="F20" s="2" t="s">
        <v>41</v>
      </c>
      <c r="G20" s="2"/>
      <c r="H20" s="2" t="s">
        <v>138</v>
      </c>
      <c r="I20" s="2" t="s">
        <v>18</v>
      </c>
      <c r="J20" s="2" t="s">
        <v>51</v>
      </c>
    </row>
    <row r="21" customFormat="false" ht="15" hidden="false" customHeight="false" outlineLevel="0" collapsed="false">
      <c r="A21" s="2" t="s">
        <v>52</v>
      </c>
      <c r="B21" s="3" t="n">
        <v>46097</v>
      </c>
      <c r="C21" s="2" t="s">
        <v>38</v>
      </c>
      <c r="D21" s="2" t="s">
        <v>15</v>
      </c>
      <c r="E21" s="2" t="s">
        <v>46</v>
      </c>
      <c r="F21" s="2" t="s">
        <v>41</v>
      </c>
      <c r="G21" s="2"/>
      <c r="H21" s="2" t="s">
        <v>42</v>
      </c>
      <c r="I21" s="2" t="s">
        <v>18</v>
      </c>
      <c r="J21" s="2" t="s">
        <v>53</v>
      </c>
    </row>
    <row r="22" customFormat="false" ht="15" hidden="false" customHeight="false" outlineLevel="0" collapsed="false">
      <c r="A22" s="2" t="s">
        <v>54</v>
      </c>
      <c r="B22" s="3" t="n">
        <v>46098</v>
      </c>
      <c r="C22" s="2" t="s">
        <v>38</v>
      </c>
      <c r="D22" s="2" t="s">
        <v>39</v>
      </c>
      <c r="E22" s="2" t="s">
        <v>40</v>
      </c>
      <c r="F22" s="2" t="s">
        <v>17</v>
      </c>
      <c r="G22" s="2" t="s">
        <v>55</v>
      </c>
      <c r="H22" s="2" t="s">
        <v>42</v>
      </c>
      <c r="I22" s="2" t="s">
        <v>18</v>
      </c>
      <c r="J22" s="2" t="s">
        <v>57</v>
      </c>
    </row>
    <row r="23" customFormat="false" ht="15" hidden="false" customHeight="false" outlineLevel="0" collapsed="false">
      <c r="A23" s="2" t="s">
        <v>58</v>
      </c>
      <c r="B23" s="3" t="n">
        <v>46098</v>
      </c>
      <c r="C23" s="2" t="s">
        <v>38</v>
      </c>
      <c r="D23" s="2" t="s">
        <v>39</v>
      </c>
      <c r="E23" s="2" t="s">
        <v>46</v>
      </c>
      <c r="F23" s="2" t="s">
        <v>59</v>
      </c>
      <c r="G23" s="2" t="s">
        <v>60</v>
      </c>
      <c r="H23" s="2" t="s">
        <v>61</v>
      </c>
      <c r="I23" s="2" t="s">
        <v>33</v>
      </c>
      <c r="J23" s="2" t="s">
        <v>62</v>
      </c>
    </row>
    <row r="24" customFormat="false" ht="15" hidden="false" customHeight="false" outlineLevel="0" collapsed="false">
      <c r="A24" s="2" t="s">
        <v>63</v>
      </c>
      <c r="B24" s="3" t="n">
        <v>46098</v>
      </c>
      <c r="C24" s="2" t="s">
        <v>38</v>
      </c>
      <c r="D24" s="2" t="s">
        <v>39</v>
      </c>
      <c r="E24" s="2" t="s">
        <v>40</v>
      </c>
      <c r="F24" s="2" t="s">
        <v>41</v>
      </c>
      <c r="G24" s="2"/>
      <c r="H24" s="2" t="s">
        <v>42</v>
      </c>
      <c r="I24" s="2" t="s">
        <v>18</v>
      </c>
      <c r="J24" s="2" t="s">
        <v>64</v>
      </c>
    </row>
    <row r="25" customFormat="false" ht="15" hidden="false" customHeight="false" outlineLevel="0" collapsed="false">
      <c r="A25" s="2" t="s">
        <v>65</v>
      </c>
      <c r="B25" s="3" t="n">
        <v>46098</v>
      </c>
      <c r="C25" s="2" t="s">
        <v>38</v>
      </c>
      <c r="D25" s="2" t="s">
        <v>39</v>
      </c>
      <c r="E25" s="2" t="s">
        <v>40</v>
      </c>
      <c r="F25" s="2" t="s">
        <v>41</v>
      </c>
      <c r="G25" s="2"/>
      <c r="H25" s="2" t="s">
        <v>42</v>
      </c>
      <c r="I25" s="2" t="s">
        <v>18</v>
      </c>
      <c r="J25" s="2" t="s">
        <v>66</v>
      </c>
    </row>
    <row r="26" customFormat="false" ht="15" hidden="false" customHeight="false" outlineLevel="0" collapsed="false">
      <c r="A26" s="2" t="s">
        <v>67</v>
      </c>
      <c r="B26" s="3" t="n">
        <v>46099</v>
      </c>
      <c r="C26" s="2" t="s">
        <v>38</v>
      </c>
      <c r="D26" s="2" t="s">
        <v>39</v>
      </c>
      <c r="E26" s="2" t="s">
        <v>46</v>
      </c>
      <c r="F26" s="2" t="s">
        <v>32</v>
      </c>
      <c r="G26" s="2"/>
      <c r="H26" s="2" t="s">
        <v>61</v>
      </c>
      <c r="I26" s="2" t="s">
        <v>33</v>
      </c>
      <c r="J26" s="2" t="s">
        <v>69</v>
      </c>
    </row>
    <row r="27" customFormat="false" ht="15" hidden="false" customHeight="false" outlineLevel="0" collapsed="false">
      <c r="A27" s="2" t="s">
        <v>67</v>
      </c>
      <c r="B27" s="3" t="n">
        <v>46099</v>
      </c>
      <c r="C27" s="2" t="s">
        <v>38</v>
      </c>
      <c r="D27" s="2" t="s">
        <v>39</v>
      </c>
      <c r="E27" s="2" t="s">
        <v>46</v>
      </c>
      <c r="F27" s="2" t="s">
        <v>32</v>
      </c>
      <c r="G27" s="2"/>
      <c r="H27" s="2" t="s">
        <v>115</v>
      </c>
      <c r="I27" s="2" t="s">
        <v>18</v>
      </c>
      <c r="J27" s="2" t="s">
        <v>69</v>
      </c>
    </row>
    <row r="28" customFormat="false" ht="15" hidden="false" customHeight="false" outlineLevel="0" collapsed="false">
      <c r="A28" s="2" t="s">
        <v>70</v>
      </c>
      <c r="B28" s="3" t="n">
        <v>46099</v>
      </c>
      <c r="C28" s="2" t="s">
        <v>38</v>
      </c>
      <c r="D28" s="2" t="s">
        <v>15</v>
      </c>
      <c r="E28" s="2" t="s">
        <v>71</v>
      </c>
      <c r="F28" s="2" t="s">
        <v>59</v>
      </c>
      <c r="G28" s="2" t="s">
        <v>25</v>
      </c>
      <c r="H28" s="2" t="s">
        <v>61</v>
      </c>
      <c r="I28" s="2" t="s">
        <v>33</v>
      </c>
      <c r="J28" s="2" t="s">
        <v>72</v>
      </c>
    </row>
    <row r="29" customFormat="false" ht="15" hidden="false" customHeight="false" outlineLevel="0" collapsed="false">
      <c r="A29" s="2" t="s">
        <v>73</v>
      </c>
      <c r="B29" s="3" t="n">
        <v>46099</v>
      </c>
      <c r="C29" s="2" t="s">
        <v>38</v>
      </c>
      <c r="D29" s="2" t="s">
        <v>15</v>
      </c>
      <c r="E29" s="2" t="s">
        <v>74</v>
      </c>
      <c r="F29" s="2" t="s">
        <v>41</v>
      </c>
      <c r="G29" s="2"/>
      <c r="H29" s="2" t="s">
        <v>138</v>
      </c>
      <c r="I29" s="2" t="s">
        <v>18</v>
      </c>
      <c r="J29" s="2" t="s">
        <v>76</v>
      </c>
    </row>
    <row r="30" customFormat="false" ht="15" hidden="false" customHeight="false" outlineLevel="0" collapsed="false">
      <c r="A30" s="2" t="s">
        <v>73</v>
      </c>
      <c r="B30" s="3" t="n">
        <v>46099</v>
      </c>
      <c r="C30" s="2" t="s">
        <v>38</v>
      </c>
      <c r="D30" s="2" t="s">
        <v>15</v>
      </c>
      <c r="E30" s="2" t="s">
        <v>74</v>
      </c>
      <c r="F30" s="2" t="s">
        <v>41</v>
      </c>
      <c r="G30" s="2"/>
      <c r="H30" s="2" t="s">
        <v>193</v>
      </c>
      <c r="I30" s="2" t="s">
        <v>18</v>
      </c>
      <c r="J30" s="2" t="s">
        <v>76</v>
      </c>
    </row>
    <row r="31" customFormat="false" ht="15" hidden="false" customHeight="false" outlineLevel="0" collapsed="false">
      <c r="A31" s="2" t="s">
        <v>73</v>
      </c>
      <c r="B31" s="3" t="n">
        <v>46099</v>
      </c>
      <c r="C31" s="2" t="s">
        <v>38</v>
      </c>
      <c r="D31" s="2" t="s">
        <v>15</v>
      </c>
      <c r="E31" s="2" t="s">
        <v>74</v>
      </c>
      <c r="F31" s="2" t="s">
        <v>41</v>
      </c>
      <c r="G31" s="2"/>
      <c r="H31" s="2" t="s">
        <v>186</v>
      </c>
      <c r="I31" s="2" t="s">
        <v>18</v>
      </c>
      <c r="J31" s="2" t="s">
        <v>76</v>
      </c>
    </row>
    <row r="32" customFormat="false" ht="15" hidden="false" customHeight="false" outlineLevel="0" collapsed="false">
      <c r="A32" s="2" t="s">
        <v>73</v>
      </c>
      <c r="B32" s="3" t="n">
        <v>46099</v>
      </c>
      <c r="C32" s="2" t="s">
        <v>38</v>
      </c>
      <c r="D32" s="2" t="s">
        <v>15</v>
      </c>
      <c r="E32" s="2" t="s">
        <v>74</v>
      </c>
      <c r="F32" s="2" t="s">
        <v>41</v>
      </c>
      <c r="G32" s="2"/>
      <c r="H32" s="2" t="s">
        <v>194</v>
      </c>
      <c r="I32" s="2" t="s">
        <v>18</v>
      </c>
      <c r="J32" s="2" t="s">
        <v>76</v>
      </c>
    </row>
    <row r="33" customFormat="false" ht="15" hidden="false" customHeight="false" outlineLevel="0" collapsed="false">
      <c r="A33" s="2" t="s">
        <v>73</v>
      </c>
      <c r="B33" s="3" t="n">
        <v>46099</v>
      </c>
      <c r="C33" s="2" t="s">
        <v>38</v>
      </c>
      <c r="D33" s="2" t="s">
        <v>15</v>
      </c>
      <c r="E33" s="2" t="s">
        <v>74</v>
      </c>
      <c r="F33" s="2" t="s">
        <v>41</v>
      </c>
      <c r="G33" s="2"/>
      <c r="H33" s="2" t="s">
        <v>195</v>
      </c>
      <c r="I33" s="2" t="s">
        <v>18</v>
      </c>
      <c r="J33" s="2" t="s">
        <v>76</v>
      </c>
    </row>
    <row r="34" customFormat="false" ht="15" hidden="false" customHeight="false" outlineLevel="0" collapsed="false">
      <c r="A34" s="2" t="s">
        <v>77</v>
      </c>
      <c r="B34" s="3" t="n">
        <v>46099</v>
      </c>
      <c r="C34" s="2" t="s">
        <v>38</v>
      </c>
      <c r="D34" s="2" t="s">
        <v>39</v>
      </c>
      <c r="E34" s="2" t="s">
        <v>40</v>
      </c>
      <c r="F34" s="2" t="s">
        <v>41</v>
      </c>
      <c r="G34" s="2"/>
      <c r="H34" s="2" t="s">
        <v>138</v>
      </c>
      <c r="I34" s="2" t="s">
        <v>18</v>
      </c>
      <c r="J34" s="2" t="s">
        <v>79</v>
      </c>
    </row>
    <row r="35" customFormat="false" ht="15" hidden="false" customHeight="false" outlineLevel="0" collapsed="false">
      <c r="A35" s="2" t="s">
        <v>77</v>
      </c>
      <c r="B35" s="3" t="n">
        <v>46099</v>
      </c>
      <c r="C35" s="2" t="s">
        <v>38</v>
      </c>
      <c r="D35" s="2" t="s">
        <v>39</v>
      </c>
      <c r="E35" s="2" t="s">
        <v>40</v>
      </c>
      <c r="F35" s="2" t="s">
        <v>41</v>
      </c>
      <c r="G35" s="2"/>
      <c r="H35" s="2" t="s">
        <v>126</v>
      </c>
      <c r="I35" s="2" t="s">
        <v>18</v>
      </c>
      <c r="J35" s="2" t="s">
        <v>79</v>
      </c>
    </row>
    <row r="36" customFormat="false" ht="15" hidden="false" customHeight="false" outlineLevel="0" collapsed="false">
      <c r="A36" s="2" t="s">
        <v>80</v>
      </c>
      <c r="B36" s="3" t="n">
        <v>46100</v>
      </c>
      <c r="C36" s="2" t="s">
        <v>38</v>
      </c>
      <c r="D36" s="2" t="s">
        <v>39</v>
      </c>
      <c r="E36" s="2" t="s">
        <v>46</v>
      </c>
      <c r="F36" s="2" t="s">
        <v>41</v>
      </c>
      <c r="G36" s="2"/>
      <c r="H36" s="2" t="s">
        <v>42</v>
      </c>
      <c r="I36" s="2" t="s">
        <v>18</v>
      </c>
      <c r="J36" s="2" t="s">
        <v>81</v>
      </c>
    </row>
    <row r="37" customFormat="false" ht="15" hidden="false" customHeight="false" outlineLevel="0" collapsed="false">
      <c r="A37" s="2" t="s">
        <v>82</v>
      </c>
      <c r="B37" s="3" t="n">
        <v>46101</v>
      </c>
      <c r="C37" s="2" t="s">
        <v>38</v>
      </c>
      <c r="D37" s="2" t="s">
        <v>15</v>
      </c>
      <c r="E37" s="2" t="s">
        <v>71</v>
      </c>
      <c r="F37" s="2" t="s">
        <v>59</v>
      </c>
      <c r="G37" s="2" t="s">
        <v>25</v>
      </c>
      <c r="H37" s="2" t="s">
        <v>115</v>
      </c>
      <c r="I37" s="2" t="s">
        <v>18</v>
      </c>
      <c r="J37" s="2" t="s">
        <v>84</v>
      </c>
    </row>
    <row r="38" customFormat="false" ht="15" hidden="false" customHeight="false" outlineLevel="0" collapsed="false">
      <c r="A38" s="2" t="s">
        <v>82</v>
      </c>
      <c r="B38" s="3" t="n">
        <v>46101</v>
      </c>
      <c r="C38" s="2" t="s">
        <v>38</v>
      </c>
      <c r="D38" s="2" t="s">
        <v>15</v>
      </c>
      <c r="E38" s="2" t="s">
        <v>71</v>
      </c>
      <c r="F38" s="2" t="s">
        <v>59</v>
      </c>
      <c r="G38" s="2" t="s">
        <v>25</v>
      </c>
      <c r="H38" s="2" t="s">
        <v>61</v>
      </c>
      <c r="I38" s="2" t="s">
        <v>33</v>
      </c>
      <c r="J38" s="2" t="s">
        <v>84</v>
      </c>
    </row>
    <row r="39" customFormat="false" ht="15" hidden="false" customHeight="false" outlineLevel="0" collapsed="false">
      <c r="A39" s="2" t="s">
        <v>85</v>
      </c>
      <c r="B39" s="3" t="n">
        <v>46101</v>
      </c>
      <c r="C39" s="2" t="s">
        <v>38</v>
      </c>
      <c r="D39" s="2" t="s">
        <v>15</v>
      </c>
      <c r="E39" s="2" t="s">
        <v>71</v>
      </c>
      <c r="F39" s="2" t="s">
        <v>59</v>
      </c>
      <c r="G39" s="2" t="s">
        <v>25</v>
      </c>
      <c r="H39" s="2" t="s">
        <v>61</v>
      </c>
      <c r="I39" s="2" t="s">
        <v>33</v>
      </c>
      <c r="J39" s="2" t="s">
        <v>86</v>
      </c>
    </row>
    <row r="40" customFormat="false" ht="15" hidden="false" customHeight="false" outlineLevel="0" collapsed="false">
      <c r="A40" s="2" t="s">
        <v>87</v>
      </c>
      <c r="B40" s="3" t="n">
        <v>46102</v>
      </c>
      <c r="C40" s="2" t="s">
        <v>38</v>
      </c>
      <c r="D40" s="2" t="s">
        <v>39</v>
      </c>
      <c r="E40" s="2" t="s">
        <v>71</v>
      </c>
      <c r="F40" s="2" t="s">
        <v>59</v>
      </c>
      <c r="G40" s="2" t="s">
        <v>25</v>
      </c>
      <c r="H40" s="2" t="s">
        <v>61</v>
      </c>
      <c r="I40" s="2" t="s">
        <v>33</v>
      </c>
      <c r="J40" s="2" t="s">
        <v>88</v>
      </c>
    </row>
    <row r="41" customFormat="false" ht="15" hidden="false" customHeight="false" outlineLevel="0" collapsed="false">
      <c r="A41" s="2" t="s">
        <v>89</v>
      </c>
      <c r="B41" s="3" t="n">
        <v>46102</v>
      </c>
      <c r="C41" s="2" t="s">
        <v>38</v>
      </c>
      <c r="D41" s="2" t="s">
        <v>15</v>
      </c>
      <c r="E41" s="2" t="s">
        <v>71</v>
      </c>
      <c r="F41" s="2" t="s">
        <v>32</v>
      </c>
      <c r="G41" s="2"/>
      <c r="H41" s="2" t="s">
        <v>61</v>
      </c>
      <c r="I41" s="2" t="s">
        <v>33</v>
      </c>
      <c r="J41" s="2" t="s">
        <v>90</v>
      </c>
    </row>
    <row r="42" customFormat="false" ht="15" hidden="false" customHeight="false" outlineLevel="0" collapsed="false">
      <c r="A42" s="2" t="s">
        <v>91</v>
      </c>
      <c r="B42" s="3" t="n">
        <v>46102</v>
      </c>
      <c r="C42" s="2" t="s">
        <v>38</v>
      </c>
      <c r="D42" s="2" t="s">
        <v>39</v>
      </c>
      <c r="E42" s="2" t="s">
        <v>40</v>
      </c>
      <c r="F42" s="2" t="s">
        <v>59</v>
      </c>
      <c r="G42" s="2" t="s">
        <v>25</v>
      </c>
      <c r="H42" s="2" t="s">
        <v>61</v>
      </c>
      <c r="I42" s="2" t="s">
        <v>33</v>
      </c>
      <c r="J42" s="2" t="s">
        <v>92</v>
      </c>
    </row>
    <row r="43" customFormat="false" ht="15" hidden="false" customHeight="false" outlineLevel="0" collapsed="false">
      <c r="A43" s="2" t="s">
        <v>93</v>
      </c>
      <c r="B43" s="3" t="n">
        <v>46102</v>
      </c>
      <c r="C43" s="2" t="s">
        <v>38</v>
      </c>
      <c r="D43" s="2" t="s">
        <v>15</v>
      </c>
      <c r="E43" s="2" t="s">
        <v>40</v>
      </c>
      <c r="F43" s="2" t="s">
        <v>17</v>
      </c>
      <c r="G43" s="2" t="s">
        <v>55</v>
      </c>
      <c r="H43" s="2" t="s">
        <v>42</v>
      </c>
      <c r="I43" s="2" t="s">
        <v>18</v>
      </c>
      <c r="J43" s="2" t="s">
        <v>94</v>
      </c>
    </row>
    <row r="44" customFormat="false" ht="15" hidden="false" customHeight="false" outlineLevel="0" collapsed="false">
      <c r="A44" s="2" t="s">
        <v>95</v>
      </c>
      <c r="B44" s="3" t="n">
        <v>46104</v>
      </c>
      <c r="C44" s="2" t="s">
        <v>38</v>
      </c>
      <c r="D44" s="2" t="s">
        <v>39</v>
      </c>
      <c r="E44" s="2" t="s">
        <v>71</v>
      </c>
      <c r="F44" s="2" t="s">
        <v>59</v>
      </c>
      <c r="G44" s="2" t="s">
        <v>25</v>
      </c>
      <c r="H44" s="2" t="s">
        <v>61</v>
      </c>
      <c r="I44" s="2" t="s">
        <v>33</v>
      </c>
      <c r="J44" s="2" t="s">
        <v>96</v>
      </c>
    </row>
    <row r="45" customFormat="false" ht="15" hidden="false" customHeight="false" outlineLevel="0" collapsed="false">
      <c r="A45" s="2" t="s">
        <v>97</v>
      </c>
      <c r="B45" s="3" t="n">
        <v>46104</v>
      </c>
      <c r="C45" s="2" t="s">
        <v>38</v>
      </c>
      <c r="D45" s="2" t="s">
        <v>39</v>
      </c>
      <c r="E45" s="2" t="s">
        <v>71</v>
      </c>
      <c r="F45" s="2" t="s">
        <v>59</v>
      </c>
      <c r="G45" s="2" t="s">
        <v>25</v>
      </c>
      <c r="H45" s="2" t="s">
        <v>61</v>
      </c>
      <c r="I45" s="2" t="s">
        <v>33</v>
      </c>
      <c r="J45" s="2" t="s">
        <v>98</v>
      </c>
    </row>
    <row r="46" customFormat="false" ht="15" hidden="false" customHeight="false" outlineLevel="0" collapsed="false">
      <c r="A46" s="2" t="s">
        <v>99</v>
      </c>
      <c r="B46" s="3" t="n">
        <v>46104</v>
      </c>
      <c r="C46" s="2" t="s">
        <v>38</v>
      </c>
      <c r="D46" s="2" t="s">
        <v>15</v>
      </c>
      <c r="E46" s="2" t="s">
        <v>71</v>
      </c>
      <c r="F46" s="2" t="s">
        <v>59</v>
      </c>
      <c r="G46" s="2" t="s">
        <v>196</v>
      </c>
      <c r="H46" s="2" t="s">
        <v>61</v>
      </c>
      <c r="I46" s="2" t="s">
        <v>33</v>
      </c>
      <c r="J46" s="2" t="s">
        <v>101</v>
      </c>
    </row>
    <row r="47" customFormat="false" ht="15" hidden="false" customHeight="false" outlineLevel="0" collapsed="false">
      <c r="A47" s="2" t="s">
        <v>99</v>
      </c>
      <c r="B47" s="3" t="n">
        <v>46104</v>
      </c>
      <c r="C47" s="2" t="s">
        <v>38</v>
      </c>
      <c r="D47" s="2" t="s">
        <v>15</v>
      </c>
      <c r="E47" s="2" t="s">
        <v>71</v>
      </c>
      <c r="F47" s="2" t="s">
        <v>59</v>
      </c>
      <c r="G47" s="2" t="s">
        <v>25</v>
      </c>
      <c r="H47" s="2" t="s">
        <v>61</v>
      </c>
      <c r="I47" s="2" t="s">
        <v>33</v>
      </c>
      <c r="J47" s="2" t="s">
        <v>101</v>
      </c>
    </row>
    <row r="48" customFormat="false" ht="15" hidden="false" customHeight="false" outlineLevel="0" collapsed="false">
      <c r="A48" s="2" t="s">
        <v>102</v>
      </c>
      <c r="B48" s="3" t="n">
        <v>46104</v>
      </c>
      <c r="C48" s="2" t="s">
        <v>38</v>
      </c>
      <c r="D48" s="2" t="s">
        <v>39</v>
      </c>
      <c r="E48" s="2" t="s">
        <v>40</v>
      </c>
      <c r="F48" s="2" t="s">
        <v>41</v>
      </c>
      <c r="G48" s="2"/>
      <c r="H48" s="2" t="s">
        <v>42</v>
      </c>
      <c r="I48" s="2" t="s">
        <v>18</v>
      </c>
      <c r="J48" s="2" t="s">
        <v>103</v>
      </c>
    </row>
    <row r="49" customFormat="false" ht="15" hidden="false" customHeight="false" outlineLevel="0" collapsed="false">
      <c r="A49" s="2" t="s">
        <v>104</v>
      </c>
      <c r="B49" s="3" t="n">
        <v>46104</v>
      </c>
      <c r="C49" s="2" t="s">
        <v>38</v>
      </c>
      <c r="D49" s="2" t="s">
        <v>39</v>
      </c>
      <c r="E49" s="2" t="s">
        <v>40</v>
      </c>
      <c r="F49" s="2" t="s">
        <v>41</v>
      </c>
      <c r="G49" s="2"/>
      <c r="H49" s="2" t="s">
        <v>42</v>
      </c>
      <c r="I49" s="2" t="s">
        <v>18</v>
      </c>
      <c r="J49" s="2" t="s">
        <v>105</v>
      </c>
    </row>
    <row r="50" customFormat="false" ht="15" hidden="false" customHeight="false" outlineLevel="0" collapsed="false">
      <c r="A50" s="2" t="s">
        <v>106</v>
      </c>
      <c r="B50" s="3" t="n">
        <v>46104</v>
      </c>
      <c r="C50" s="2" t="s">
        <v>38</v>
      </c>
      <c r="D50" s="2" t="s">
        <v>39</v>
      </c>
      <c r="E50" s="2" t="s">
        <v>40</v>
      </c>
      <c r="F50" s="2" t="s">
        <v>41</v>
      </c>
      <c r="G50" s="2"/>
      <c r="H50" s="2" t="s">
        <v>42</v>
      </c>
      <c r="I50" s="2" t="s">
        <v>18</v>
      </c>
      <c r="J50" s="2" t="s">
        <v>107</v>
      </c>
    </row>
    <row r="51" customFormat="false" ht="15" hidden="false" customHeight="false" outlineLevel="0" collapsed="false">
      <c r="A51" s="2" t="s">
        <v>108</v>
      </c>
      <c r="B51" s="3" t="n">
        <v>46104</v>
      </c>
      <c r="C51" s="2" t="s">
        <v>38</v>
      </c>
      <c r="D51" s="2" t="s">
        <v>15</v>
      </c>
      <c r="E51" s="2" t="s">
        <v>109</v>
      </c>
      <c r="F51" s="2" t="s">
        <v>41</v>
      </c>
      <c r="G51" s="2"/>
      <c r="H51" s="2" t="s">
        <v>138</v>
      </c>
      <c r="I51" s="2" t="s">
        <v>18</v>
      </c>
      <c r="J51" s="2" t="s">
        <v>111</v>
      </c>
    </row>
    <row r="52" customFormat="false" ht="15" hidden="false" customHeight="false" outlineLevel="0" collapsed="false">
      <c r="A52" s="2" t="s">
        <v>108</v>
      </c>
      <c r="B52" s="3" t="n">
        <v>46104</v>
      </c>
      <c r="C52" s="2" t="s">
        <v>38</v>
      </c>
      <c r="D52" s="2" t="s">
        <v>15</v>
      </c>
      <c r="E52" s="2" t="s">
        <v>109</v>
      </c>
      <c r="F52" s="2" t="s">
        <v>41</v>
      </c>
      <c r="G52" s="2"/>
      <c r="H52" s="2" t="s">
        <v>193</v>
      </c>
      <c r="I52" s="2" t="s">
        <v>18</v>
      </c>
      <c r="J52" s="2" t="s">
        <v>111</v>
      </c>
    </row>
    <row r="53" customFormat="false" ht="15" hidden="false" customHeight="false" outlineLevel="0" collapsed="false">
      <c r="A53" s="2" t="s">
        <v>108</v>
      </c>
      <c r="B53" s="3" t="n">
        <v>46104</v>
      </c>
      <c r="C53" s="2" t="s">
        <v>38</v>
      </c>
      <c r="D53" s="2" t="s">
        <v>15</v>
      </c>
      <c r="E53" s="2" t="s">
        <v>109</v>
      </c>
      <c r="F53" s="2" t="s">
        <v>41</v>
      </c>
      <c r="G53" s="2"/>
      <c r="H53" s="2" t="s">
        <v>186</v>
      </c>
      <c r="I53" s="2" t="s">
        <v>18</v>
      </c>
      <c r="J53" s="2" t="s">
        <v>111</v>
      </c>
    </row>
    <row r="54" customFormat="false" ht="15" hidden="false" customHeight="false" outlineLevel="0" collapsed="false">
      <c r="A54" s="2" t="s">
        <v>112</v>
      </c>
      <c r="B54" s="3" t="n">
        <v>46105</v>
      </c>
      <c r="C54" s="2" t="s">
        <v>38</v>
      </c>
      <c r="D54" s="2" t="s">
        <v>39</v>
      </c>
      <c r="E54" s="2" t="s">
        <v>40</v>
      </c>
      <c r="F54" s="2" t="s">
        <v>41</v>
      </c>
      <c r="G54" s="2"/>
      <c r="H54" s="2" t="s">
        <v>42</v>
      </c>
      <c r="I54" s="2" t="s">
        <v>18</v>
      </c>
      <c r="J54" s="2" t="s">
        <v>113</v>
      </c>
    </row>
    <row r="55" customFormat="false" ht="15" hidden="false" customHeight="false" outlineLevel="0" collapsed="false">
      <c r="A55" s="2" t="s">
        <v>114</v>
      </c>
      <c r="B55" s="3" t="n">
        <v>46105</v>
      </c>
      <c r="C55" s="2" t="s">
        <v>38</v>
      </c>
      <c r="D55" s="2" t="s">
        <v>39</v>
      </c>
      <c r="E55" s="2" t="s">
        <v>40</v>
      </c>
      <c r="F55" s="2" t="s">
        <v>17</v>
      </c>
      <c r="G55" s="2" t="s">
        <v>25</v>
      </c>
      <c r="H55" s="2" t="s">
        <v>115</v>
      </c>
      <c r="I55" s="2" t="s">
        <v>18</v>
      </c>
      <c r="J55" s="2" t="s">
        <v>116</v>
      </c>
    </row>
    <row r="56" customFormat="false" ht="15" hidden="false" customHeight="false" outlineLevel="0" collapsed="false">
      <c r="A56" s="2" t="s">
        <v>117</v>
      </c>
      <c r="B56" s="3" t="n">
        <v>46105</v>
      </c>
      <c r="C56" s="2" t="s">
        <v>38</v>
      </c>
      <c r="D56" s="2" t="s">
        <v>39</v>
      </c>
      <c r="E56" s="2" t="s">
        <v>40</v>
      </c>
      <c r="F56" s="2" t="s">
        <v>17</v>
      </c>
      <c r="G56" s="2" t="s">
        <v>25</v>
      </c>
      <c r="H56" s="2" t="s">
        <v>115</v>
      </c>
      <c r="I56" s="2" t="s">
        <v>18</v>
      </c>
      <c r="J56" s="2" t="s">
        <v>118</v>
      </c>
    </row>
    <row r="57" customFormat="false" ht="15" hidden="false" customHeight="false" outlineLevel="0" collapsed="false">
      <c r="A57" s="2" t="s">
        <v>119</v>
      </c>
      <c r="B57" s="3" t="n">
        <v>46105</v>
      </c>
      <c r="C57" s="2" t="s">
        <v>38</v>
      </c>
      <c r="D57" s="2" t="s">
        <v>39</v>
      </c>
      <c r="E57" s="2" t="s">
        <v>71</v>
      </c>
      <c r="F57" s="2" t="s">
        <v>17</v>
      </c>
      <c r="G57" s="2" t="s">
        <v>25</v>
      </c>
      <c r="H57" s="2" t="s">
        <v>115</v>
      </c>
      <c r="I57" s="2" t="s">
        <v>18</v>
      </c>
      <c r="J57" s="2" t="s">
        <v>120</v>
      </c>
    </row>
    <row r="58" customFormat="false" ht="15" hidden="false" customHeight="false" outlineLevel="0" collapsed="false">
      <c r="A58" s="2" t="s">
        <v>121</v>
      </c>
      <c r="B58" s="3" t="n">
        <v>46105</v>
      </c>
      <c r="C58" s="2" t="s">
        <v>38</v>
      </c>
      <c r="D58" s="2" t="s">
        <v>15</v>
      </c>
      <c r="E58" s="2" t="s">
        <v>46</v>
      </c>
      <c r="F58" s="2" t="s">
        <v>41</v>
      </c>
      <c r="G58" s="2"/>
      <c r="H58" s="2" t="s">
        <v>42</v>
      </c>
      <c r="I58" s="2" t="s">
        <v>18</v>
      </c>
      <c r="J58" s="2" t="s">
        <v>122</v>
      </c>
    </row>
    <row r="59" customFormat="false" ht="15" hidden="false" customHeight="false" outlineLevel="0" collapsed="false">
      <c r="A59" s="2" t="s">
        <v>123</v>
      </c>
      <c r="B59" s="3" t="n">
        <v>46105</v>
      </c>
      <c r="C59" s="2" t="s">
        <v>38</v>
      </c>
      <c r="D59" s="2" t="s">
        <v>15</v>
      </c>
      <c r="E59" s="2" t="s">
        <v>46</v>
      </c>
      <c r="F59" s="2" t="s">
        <v>41</v>
      </c>
      <c r="G59" s="2"/>
      <c r="H59" s="2" t="s">
        <v>42</v>
      </c>
      <c r="I59" s="2" t="s">
        <v>18</v>
      </c>
      <c r="J59" s="2" t="s">
        <v>124</v>
      </c>
    </row>
    <row r="60" customFormat="false" ht="15" hidden="false" customHeight="false" outlineLevel="0" collapsed="false">
      <c r="A60" s="2" t="s">
        <v>125</v>
      </c>
      <c r="B60" s="3" t="n">
        <v>46105</v>
      </c>
      <c r="C60" s="2" t="s">
        <v>38</v>
      </c>
      <c r="D60" s="2" t="s">
        <v>39</v>
      </c>
      <c r="E60" s="2" t="s">
        <v>46</v>
      </c>
      <c r="F60" s="2" t="s">
        <v>41</v>
      </c>
      <c r="G60" s="2"/>
      <c r="H60" s="2" t="s">
        <v>126</v>
      </c>
      <c r="I60" s="2" t="s">
        <v>18</v>
      </c>
      <c r="J60" s="2" t="s">
        <v>127</v>
      </c>
    </row>
    <row r="61" customFormat="false" ht="15" hidden="false" customHeight="false" outlineLevel="0" collapsed="false">
      <c r="A61" s="2" t="s">
        <v>128</v>
      </c>
      <c r="B61" s="3" t="n">
        <v>46105</v>
      </c>
      <c r="C61" s="2" t="s">
        <v>38</v>
      </c>
      <c r="D61" s="2" t="s">
        <v>15</v>
      </c>
      <c r="E61" s="2" t="s">
        <v>40</v>
      </c>
      <c r="F61" s="2" t="s">
        <v>59</v>
      </c>
      <c r="G61" s="2" t="s">
        <v>25</v>
      </c>
      <c r="H61" s="2" t="s">
        <v>129</v>
      </c>
      <c r="I61" s="2" t="s">
        <v>33</v>
      </c>
      <c r="J61" s="2" t="s">
        <v>130</v>
      </c>
    </row>
    <row r="62" customFormat="false" ht="15" hidden="false" customHeight="false" outlineLevel="0" collapsed="false">
      <c r="A62" s="2" t="s">
        <v>131</v>
      </c>
      <c r="B62" s="3" t="n">
        <v>46106</v>
      </c>
      <c r="C62" s="2" t="s">
        <v>38</v>
      </c>
      <c r="D62" s="2" t="s">
        <v>15</v>
      </c>
      <c r="E62" s="2" t="s">
        <v>46</v>
      </c>
      <c r="F62" s="2" t="s">
        <v>41</v>
      </c>
      <c r="G62" s="2"/>
      <c r="H62" s="2" t="s">
        <v>42</v>
      </c>
      <c r="I62" s="2" t="s">
        <v>18</v>
      </c>
      <c r="J62" s="2" t="s">
        <v>132</v>
      </c>
    </row>
    <row r="63" customFormat="false" ht="15" hidden="false" customHeight="false" outlineLevel="0" collapsed="false">
      <c r="A63" s="2" t="s">
        <v>133</v>
      </c>
      <c r="B63" s="3" t="n">
        <v>46106</v>
      </c>
      <c r="C63" s="2" t="s">
        <v>38</v>
      </c>
      <c r="D63" s="2" t="s">
        <v>15</v>
      </c>
      <c r="E63" s="2" t="s">
        <v>46</v>
      </c>
      <c r="F63" s="2" t="s">
        <v>41</v>
      </c>
      <c r="G63" s="2"/>
      <c r="H63" s="2" t="s">
        <v>42</v>
      </c>
      <c r="I63" s="2" t="s">
        <v>18</v>
      </c>
      <c r="J63" s="2" t="s">
        <v>134</v>
      </c>
    </row>
    <row r="64" customFormat="false" ht="15" hidden="false" customHeight="false" outlineLevel="0" collapsed="false">
      <c r="A64" s="2" t="s">
        <v>135</v>
      </c>
      <c r="B64" s="3" t="n">
        <v>46106</v>
      </c>
      <c r="C64" s="2" t="s">
        <v>38</v>
      </c>
      <c r="D64" s="2" t="s">
        <v>39</v>
      </c>
      <c r="E64" s="2" t="s">
        <v>46</v>
      </c>
      <c r="F64" s="2" t="s">
        <v>41</v>
      </c>
      <c r="G64" s="2"/>
      <c r="H64" s="2" t="s">
        <v>42</v>
      </c>
      <c r="I64" s="2" t="s">
        <v>18</v>
      </c>
      <c r="J64" s="2" t="s">
        <v>136</v>
      </c>
    </row>
    <row r="65" customFormat="false" ht="15" hidden="false" customHeight="false" outlineLevel="0" collapsed="false">
      <c r="A65" s="2" t="s">
        <v>137</v>
      </c>
      <c r="B65" s="3" t="n">
        <v>46106</v>
      </c>
      <c r="C65" s="2" t="s">
        <v>38</v>
      </c>
      <c r="D65" s="2" t="s">
        <v>39</v>
      </c>
      <c r="E65" s="2" t="s">
        <v>40</v>
      </c>
      <c r="F65" s="2" t="s">
        <v>41</v>
      </c>
      <c r="G65" s="2"/>
      <c r="H65" s="2" t="s">
        <v>138</v>
      </c>
      <c r="I65" s="2" t="s">
        <v>18</v>
      </c>
      <c r="J65" s="2" t="s">
        <v>139</v>
      </c>
    </row>
    <row r="66" customFormat="false" ht="15" hidden="false" customHeight="false" outlineLevel="0" collapsed="false">
      <c r="A66" s="2" t="s">
        <v>140</v>
      </c>
      <c r="B66" s="3" t="n">
        <v>46106</v>
      </c>
      <c r="C66" s="2" t="s">
        <v>38</v>
      </c>
      <c r="D66" s="2" t="s">
        <v>39</v>
      </c>
      <c r="E66" s="2" t="s">
        <v>40</v>
      </c>
      <c r="F66" s="2" t="s">
        <v>41</v>
      </c>
      <c r="G66" s="2"/>
      <c r="H66" s="2" t="s">
        <v>42</v>
      </c>
      <c r="I66" s="2" t="s">
        <v>18</v>
      </c>
      <c r="J66" s="2" t="s">
        <v>141</v>
      </c>
    </row>
    <row r="67" customFormat="false" ht="15" hidden="false" customHeight="false" outlineLevel="0" collapsed="false">
      <c r="A67" s="2" t="s">
        <v>142</v>
      </c>
      <c r="B67" s="3" t="n">
        <v>46106</v>
      </c>
      <c r="C67" s="2" t="s">
        <v>38</v>
      </c>
      <c r="D67" s="2" t="s">
        <v>39</v>
      </c>
      <c r="E67" s="2" t="s">
        <v>40</v>
      </c>
      <c r="F67" s="2" t="s">
        <v>17</v>
      </c>
      <c r="G67" s="2" t="s">
        <v>19</v>
      </c>
      <c r="H67" s="2" t="s">
        <v>138</v>
      </c>
      <c r="I67" s="2" t="s">
        <v>18</v>
      </c>
      <c r="J67" s="2" t="s">
        <v>143</v>
      </c>
    </row>
    <row r="68" customFormat="false" ht="15" hidden="false" customHeight="false" outlineLevel="0" collapsed="false">
      <c r="A68" s="2" t="s">
        <v>144</v>
      </c>
      <c r="B68" s="3" t="n">
        <v>46106</v>
      </c>
      <c r="C68" s="2" t="s">
        <v>38</v>
      </c>
      <c r="D68" s="2" t="s">
        <v>39</v>
      </c>
      <c r="E68" s="2" t="s">
        <v>40</v>
      </c>
      <c r="F68" s="2" t="s">
        <v>41</v>
      </c>
      <c r="G68" s="2"/>
      <c r="H68" s="2" t="s">
        <v>138</v>
      </c>
      <c r="I68" s="2" t="s">
        <v>18</v>
      </c>
      <c r="J68" s="2" t="s">
        <v>145</v>
      </c>
    </row>
    <row r="69" customFormat="false" ht="15" hidden="false" customHeight="false" outlineLevel="0" collapsed="false">
      <c r="A69" s="2" t="s">
        <v>146</v>
      </c>
      <c r="B69" s="3" t="n">
        <v>46106</v>
      </c>
      <c r="C69" s="2" t="s">
        <v>38</v>
      </c>
      <c r="D69" s="2" t="s">
        <v>39</v>
      </c>
      <c r="E69" s="2" t="s">
        <v>40</v>
      </c>
      <c r="F69" s="2" t="s">
        <v>41</v>
      </c>
      <c r="G69" s="2"/>
      <c r="H69" s="2" t="s">
        <v>115</v>
      </c>
      <c r="I69" s="2" t="s">
        <v>18</v>
      </c>
      <c r="J69" s="2" t="s">
        <v>147</v>
      </c>
    </row>
    <row r="70" customFormat="false" ht="15" hidden="false" customHeight="false" outlineLevel="0" collapsed="false">
      <c r="A70" s="2" t="s">
        <v>148</v>
      </c>
      <c r="B70" s="3" t="n">
        <v>46106</v>
      </c>
      <c r="C70" s="2" t="s">
        <v>38</v>
      </c>
      <c r="D70" s="2" t="s">
        <v>39</v>
      </c>
      <c r="E70" s="2" t="s">
        <v>40</v>
      </c>
      <c r="F70" s="2" t="s">
        <v>41</v>
      </c>
      <c r="G70" s="2"/>
      <c r="H70" s="2" t="s">
        <v>138</v>
      </c>
      <c r="I70" s="2" t="s">
        <v>18</v>
      </c>
      <c r="J70" s="2" t="s">
        <v>149</v>
      </c>
    </row>
    <row r="71" customFormat="false" ht="15" hidden="false" customHeight="false" outlineLevel="0" collapsed="false">
      <c r="A71" s="2" t="s">
        <v>150</v>
      </c>
      <c r="B71" s="3" t="n">
        <v>46106</v>
      </c>
      <c r="C71" s="2" t="s">
        <v>38</v>
      </c>
      <c r="D71" s="2" t="s">
        <v>39</v>
      </c>
      <c r="E71" s="2" t="s">
        <v>40</v>
      </c>
      <c r="F71" s="2" t="s">
        <v>41</v>
      </c>
      <c r="G71" s="2"/>
      <c r="H71" s="2" t="s">
        <v>115</v>
      </c>
      <c r="I71" s="2" t="s">
        <v>18</v>
      </c>
      <c r="J71" s="2" t="s">
        <v>151</v>
      </c>
    </row>
    <row r="72" customFormat="false" ht="15" hidden="false" customHeight="false" outlineLevel="0" collapsed="false">
      <c r="A72" s="2" t="s">
        <v>152</v>
      </c>
      <c r="B72" s="3" t="n">
        <v>46106</v>
      </c>
      <c r="C72" s="2" t="s">
        <v>38</v>
      </c>
      <c r="D72" s="2" t="s">
        <v>39</v>
      </c>
      <c r="E72" s="2" t="s">
        <v>71</v>
      </c>
      <c r="F72" s="2" t="s">
        <v>41</v>
      </c>
      <c r="G72" s="2"/>
      <c r="H72" s="2" t="s">
        <v>115</v>
      </c>
      <c r="I72" s="2" t="s">
        <v>18</v>
      </c>
      <c r="J72" s="2" t="s">
        <v>153</v>
      </c>
    </row>
    <row r="73" customFormat="false" ht="15" hidden="false" customHeight="false" outlineLevel="0" collapsed="false">
      <c r="A73" s="2" t="s">
        <v>154</v>
      </c>
      <c r="B73" s="3" t="n">
        <v>46106</v>
      </c>
      <c r="C73" s="2" t="s">
        <v>38</v>
      </c>
      <c r="D73" s="2" t="s">
        <v>39</v>
      </c>
      <c r="E73" s="2" t="s">
        <v>71</v>
      </c>
      <c r="F73" s="2" t="s">
        <v>41</v>
      </c>
      <c r="G73" s="2"/>
      <c r="H73" s="2" t="s">
        <v>42</v>
      </c>
      <c r="I73" s="2" t="s">
        <v>18</v>
      </c>
      <c r="J73" s="2" t="s">
        <v>155</v>
      </c>
    </row>
    <row r="74" customFormat="false" ht="15" hidden="false" customHeight="false" outlineLevel="0" collapsed="false">
      <c r="A74" s="2" t="s">
        <v>156</v>
      </c>
      <c r="B74" s="3" t="n">
        <v>46107</v>
      </c>
      <c r="C74" s="2" t="s">
        <v>38</v>
      </c>
      <c r="D74" s="2" t="s">
        <v>15</v>
      </c>
      <c r="E74" s="2" t="s">
        <v>46</v>
      </c>
      <c r="F74" s="2" t="s">
        <v>41</v>
      </c>
      <c r="G74" s="2"/>
      <c r="H74" s="2" t="s">
        <v>42</v>
      </c>
      <c r="I74" s="2" t="s">
        <v>18</v>
      </c>
      <c r="J74" s="2" t="s">
        <v>157</v>
      </c>
    </row>
    <row r="75" customFormat="false" ht="15" hidden="false" customHeight="false" outlineLevel="0" collapsed="false">
      <c r="A75" s="2" t="s">
        <v>158</v>
      </c>
      <c r="B75" s="3" t="n">
        <v>46107</v>
      </c>
      <c r="C75" s="2" t="s">
        <v>38</v>
      </c>
      <c r="D75" s="2" t="s">
        <v>39</v>
      </c>
      <c r="E75" s="2" t="s">
        <v>40</v>
      </c>
      <c r="F75" s="2" t="s">
        <v>41</v>
      </c>
      <c r="G75" s="2"/>
      <c r="H75" s="2" t="s">
        <v>138</v>
      </c>
      <c r="I75" s="2" t="s">
        <v>18</v>
      </c>
      <c r="J75" s="2" t="s">
        <v>159</v>
      </c>
    </row>
    <row r="76" customFormat="false" ht="15" hidden="false" customHeight="false" outlineLevel="0" collapsed="false">
      <c r="A76" s="2" t="s">
        <v>160</v>
      </c>
      <c r="B76" s="3" t="n">
        <v>46107</v>
      </c>
      <c r="C76" s="2" t="s">
        <v>38</v>
      </c>
      <c r="D76" s="2" t="s">
        <v>39</v>
      </c>
      <c r="E76" s="2" t="s">
        <v>40</v>
      </c>
      <c r="F76" s="2" t="s">
        <v>17</v>
      </c>
      <c r="G76" s="2" t="s">
        <v>161</v>
      </c>
      <c r="H76" s="2" t="s">
        <v>42</v>
      </c>
      <c r="I76" s="2" t="s">
        <v>18</v>
      </c>
      <c r="J76" s="2" t="s">
        <v>163</v>
      </c>
    </row>
    <row r="77" customFormat="false" ht="15" hidden="false" customHeight="false" outlineLevel="0" collapsed="false">
      <c r="A77" s="2" t="s">
        <v>164</v>
      </c>
      <c r="B77" s="3" t="n">
        <v>46107</v>
      </c>
      <c r="C77" s="2" t="s">
        <v>38</v>
      </c>
      <c r="D77" s="2" t="s">
        <v>39</v>
      </c>
      <c r="E77" s="2" t="s">
        <v>40</v>
      </c>
      <c r="F77" s="2" t="s">
        <v>17</v>
      </c>
      <c r="G77" s="2" t="s">
        <v>60</v>
      </c>
      <c r="H77" s="2" t="s">
        <v>42</v>
      </c>
      <c r="I77" s="2" t="s">
        <v>18</v>
      </c>
      <c r="J77" s="2" t="s">
        <v>165</v>
      </c>
    </row>
    <row r="78" customFormat="false" ht="15" hidden="false" customHeight="false" outlineLevel="0" collapsed="false">
      <c r="A78" s="2" t="s">
        <v>166</v>
      </c>
      <c r="B78" s="3" t="n">
        <v>46107</v>
      </c>
      <c r="C78" s="2" t="s">
        <v>38</v>
      </c>
      <c r="D78" s="2" t="s">
        <v>39</v>
      </c>
      <c r="E78" s="2" t="s">
        <v>40</v>
      </c>
      <c r="F78" s="2" t="s">
        <v>17</v>
      </c>
      <c r="G78" s="2" t="s">
        <v>167</v>
      </c>
      <c r="H78" s="2" t="s">
        <v>42</v>
      </c>
      <c r="I78" s="2" t="s">
        <v>18</v>
      </c>
      <c r="J78" s="2" t="s">
        <v>168</v>
      </c>
    </row>
    <row r="79" customFormat="false" ht="15" hidden="false" customHeight="false" outlineLevel="0" collapsed="false">
      <c r="A79" s="2" t="s">
        <v>169</v>
      </c>
      <c r="B79" s="3" t="n">
        <v>46107</v>
      </c>
      <c r="C79" s="2" t="s">
        <v>38</v>
      </c>
      <c r="D79" s="2" t="s">
        <v>39</v>
      </c>
      <c r="E79" s="2" t="s">
        <v>40</v>
      </c>
      <c r="F79" s="2" t="s">
        <v>17</v>
      </c>
      <c r="G79" s="2" t="s">
        <v>170</v>
      </c>
      <c r="H79" s="2" t="s">
        <v>42</v>
      </c>
      <c r="I79" s="2" t="s">
        <v>18</v>
      </c>
      <c r="J79" s="2" t="s">
        <v>171</v>
      </c>
    </row>
    <row r="80" customFormat="false" ht="15" hidden="false" customHeight="false" outlineLevel="0" collapsed="false">
      <c r="A80" s="2" t="s">
        <v>172</v>
      </c>
      <c r="B80" s="3" t="n">
        <v>46107</v>
      </c>
      <c r="C80" s="2" t="s">
        <v>38</v>
      </c>
      <c r="D80" s="2" t="s">
        <v>39</v>
      </c>
      <c r="E80" s="2" t="s">
        <v>40</v>
      </c>
      <c r="F80" s="2" t="s">
        <v>17</v>
      </c>
      <c r="G80" s="2" t="s">
        <v>173</v>
      </c>
      <c r="H80" s="2" t="s">
        <v>42</v>
      </c>
      <c r="I80" s="2" t="s">
        <v>18</v>
      </c>
      <c r="J80" s="2" t="s">
        <v>174</v>
      </c>
    </row>
    <row r="81" customFormat="false" ht="15" hidden="false" customHeight="false" outlineLevel="0" collapsed="false">
      <c r="A81" s="2" t="s">
        <v>175</v>
      </c>
      <c r="B81" s="3" t="n">
        <v>46107</v>
      </c>
      <c r="C81" s="2" t="s">
        <v>38</v>
      </c>
      <c r="D81" s="2" t="s">
        <v>39</v>
      </c>
      <c r="E81" s="2" t="s">
        <v>40</v>
      </c>
      <c r="F81" s="2" t="s">
        <v>17</v>
      </c>
      <c r="G81" s="2" t="s">
        <v>60</v>
      </c>
      <c r="H81" s="2" t="s">
        <v>42</v>
      </c>
      <c r="I81" s="2" t="s">
        <v>18</v>
      </c>
      <c r="J81" s="2" t="s">
        <v>176</v>
      </c>
    </row>
    <row r="82" customFormat="false" ht="15" hidden="false" customHeight="false" outlineLevel="0" collapsed="false">
      <c r="A82" s="2" t="s">
        <v>177</v>
      </c>
      <c r="B82" s="3" t="n">
        <v>46107</v>
      </c>
      <c r="C82" s="2" t="s">
        <v>38</v>
      </c>
      <c r="D82" s="2" t="s">
        <v>39</v>
      </c>
      <c r="E82" s="2" t="s">
        <v>40</v>
      </c>
      <c r="F82" s="2" t="s">
        <v>17</v>
      </c>
      <c r="G82" s="2" t="s">
        <v>60</v>
      </c>
      <c r="H82" s="2" t="s">
        <v>42</v>
      </c>
      <c r="I82" s="2" t="s">
        <v>18</v>
      </c>
      <c r="J82" s="2" t="s">
        <v>178</v>
      </c>
    </row>
    <row r="83" customFormat="false" ht="15" hidden="false" customHeight="false" outlineLevel="0" collapsed="false">
      <c r="A83" s="2" t="s">
        <v>179</v>
      </c>
      <c r="B83" s="3" t="n">
        <v>46107</v>
      </c>
      <c r="C83" s="2" t="s">
        <v>38</v>
      </c>
      <c r="D83" s="2" t="s">
        <v>39</v>
      </c>
      <c r="E83" s="2" t="s">
        <v>40</v>
      </c>
      <c r="F83" s="2" t="s">
        <v>41</v>
      </c>
      <c r="G83" s="2"/>
      <c r="H83" s="2" t="s">
        <v>42</v>
      </c>
      <c r="I83" s="2" t="s">
        <v>18</v>
      </c>
      <c r="J83" s="2" t="s">
        <v>180</v>
      </c>
    </row>
    <row r="84" customFormat="false" ht="15" hidden="false" customHeight="false" outlineLevel="0" collapsed="false">
      <c r="A84" s="2" t="s">
        <v>181</v>
      </c>
      <c r="B84" s="3" t="n">
        <v>46107</v>
      </c>
      <c r="C84" s="2" t="s">
        <v>38</v>
      </c>
      <c r="D84" s="2" t="s">
        <v>39</v>
      </c>
      <c r="E84" s="2" t="s">
        <v>40</v>
      </c>
      <c r="F84" s="2" t="s">
        <v>17</v>
      </c>
      <c r="G84" s="2" t="s">
        <v>182</v>
      </c>
      <c r="H84" s="2" t="s">
        <v>42</v>
      </c>
      <c r="I84" s="2" t="s">
        <v>18</v>
      </c>
      <c r="J84" s="2" t="s">
        <v>183</v>
      </c>
    </row>
  </sheetData>
  <autoFilter ref="A1:J8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3" min="3" style="0" width="22"/>
  </cols>
  <sheetData>
    <row r="1" customFormat="false" ht="15" hidden="false" customHeight="false" outlineLevel="0" collapsed="false">
      <c r="A1" s="5" t="s">
        <v>197</v>
      </c>
      <c r="B1" s="6"/>
      <c r="C1" s="6"/>
    </row>
    <row r="2" customFormat="false" ht="15" hidden="false" customHeight="false" outlineLevel="0" collapsed="false">
      <c r="A2" s="6"/>
      <c r="B2" s="6"/>
      <c r="C2" s="6"/>
    </row>
    <row r="3" customFormat="false" ht="15" hidden="false" customHeight="false" outlineLevel="0" collapsed="false">
      <c r="A3" s="7" t="s">
        <v>198</v>
      </c>
      <c r="B3" s="7" t="s">
        <v>199</v>
      </c>
      <c r="C3" s="6"/>
    </row>
    <row r="4" customFormat="false" ht="15" hidden="false" customHeight="false" outlineLevel="0" collapsed="false">
      <c r="A4" s="6" t="s">
        <v>49</v>
      </c>
      <c r="B4" s="6" t="n">
        <f aca="false">COUNTIF(events!$D$2:$D$62,A4)</f>
        <v>1</v>
      </c>
      <c r="C4" s="6"/>
    </row>
    <row r="5" customFormat="false" ht="15" hidden="false" customHeight="false" outlineLevel="0" collapsed="false">
      <c r="A5" s="6" t="s">
        <v>15</v>
      </c>
      <c r="B5" s="6" t="n">
        <f aca="false">COUNTIF(events!$D$2:$D$62,A5)</f>
        <v>20</v>
      </c>
      <c r="C5" s="6"/>
    </row>
    <row r="6" customFormat="false" ht="15" hidden="false" customHeight="false" outlineLevel="0" collapsed="false">
      <c r="A6" s="6" t="s">
        <v>39</v>
      </c>
      <c r="B6" s="6" t="n">
        <f aca="false">COUNTIF(events!$D$2:$D$62,A6)</f>
        <v>40</v>
      </c>
      <c r="C6" s="6"/>
    </row>
    <row r="7" customFormat="false" ht="15" hidden="false" customHeight="false" outlineLevel="0" collapsed="false">
      <c r="A7" s="6" t="s">
        <v>200</v>
      </c>
      <c r="B7" s="6" t="n">
        <f aca="false">COUNTIF(events!$D$2:$D$62,A7)</f>
        <v>0</v>
      </c>
      <c r="C7" s="6"/>
    </row>
    <row r="8" customFormat="false" ht="15" hidden="false" customHeight="false" outlineLevel="0" collapsed="false">
      <c r="A8" s="7" t="s">
        <v>201</v>
      </c>
      <c r="B8" s="6" t="n">
        <f aca="false">SUM(B4:B7)</f>
        <v>61</v>
      </c>
      <c r="C8" s="6"/>
    </row>
    <row r="9" customFormat="false" ht="15" hidden="false" customHeight="false" outlineLevel="0" collapsed="false">
      <c r="A9" s="6"/>
      <c r="B9" s="6"/>
      <c r="C9" s="6"/>
    </row>
    <row r="10" customFormat="false" ht="15" hidden="false" customHeight="false" outlineLevel="0" collapsed="false">
      <c r="A10" s="7" t="s">
        <v>202</v>
      </c>
      <c r="B10" s="7" t="s">
        <v>199</v>
      </c>
      <c r="C10" s="6"/>
    </row>
    <row r="11" customFormat="false" ht="15" hidden="false" customHeight="false" outlineLevel="0" collapsed="false">
      <c r="A11" s="6" t="s">
        <v>59</v>
      </c>
      <c r="B11" s="6" t="n">
        <f aca="false">COUNTIF(events!$F$2:$F$62,A11)</f>
        <v>10</v>
      </c>
      <c r="C11" s="6"/>
    </row>
    <row r="12" customFormat="false" ht="15" hidden="false" customHeight="false" outlineLevel="0" collapsed="false">
      <c r="A12" s="6" t="s">
        <v>32</v>
      </c>
      <c r="B12" s="6" t="n">
        <f aca="false">COUNTIF(events!$F$2:$F$62,A12)</f>
        <v>3</v>
      </c>
      <c r="C12" s="6"/>
    </row>
    <row r="13" customFormat="false" ht="15" hidden="false" customHeight="false" outlineLevel="0" collapsed="false">
      <c r="A13" s="6" t="s">
        <v>17</v>
      </c>
      <c r="B13" s="6" t="n">
        <f aca="false">COUNTIF(events!$F$2:$F$62,A13)</f>
        <v>17</v>
      </c>
      <c r="C13" s="6"/>
    </row>
    <row r="14" customFormat="false" ht="15" hidden="false" customHeight="false" outlineLevel="0" collapsed="false">
      <c r="A14" s="6" t="s">
        <v>41</v>
      </c>
      <c r="B14" s="6" t="n">
        <f aca="false">COUNTIF(events!$F$2:$F$62,A14)</f>
        <v>31</v>
      </c>
      <c r="C14" s="6"/>
    </row>
    <row r="15" customFormat="false" ht="15" hidden="false" customHeight="false" outlineLevel="0" collapsed="false">
      <c r="A15" s="7" t="s">
        <v>201</v>
      </c>
      <c r="B15" s="6" t="n">
        <f aca="false">SUM(B11:B14)</f>
        <v>61</v>
      </c>
      <c r="C15" s="6"/>
    </row>
    <row r="16" customFormat="false" ht="15" hidden="false" customHeight="false" outlineLevel="0" collapsed="false">
      <c r="A16" s="6"/>
      <c r="B16" s="6"/>
      <c r="C16" s="6"/>
    </row>
    <row r="17" customFormat="false" ht="15" hidden="false" customHeight="false" outlineLevel="0" collapsed="false">
      <c r="A17" s="7" t="s">
        <v>203</v>
      </c>
      <c r="B17" s="7" t="s">
        <v>199</v>
      </c>
      <c r="C17" s="7" t="s">
        <v>204</v>
      </c>
    </row>
    <row r="18" customFormat="false" ht="15" hidden="false" customHeight="false" outlineLevel="0" collapsed="false">
      <c r="A18" s="6" t="s">
        <v>14</v>
      </c>
      <c r="B18" s="6" t="n">
        <f aca="false">COUNTIF(events!$C$2:$C$62,A18)</f>
        <v>2</v>
      </c>
      <c r="C18" s="6" t="n">
        <f aca="false">COUNTIFS(events!$C$2:$C$62,A18,events!$D$2:$D$62,"high")+COUNTIFS(events!$C$2:$C$62,A18,events!$D$2:$D$62,"critical")</f>
        <v>2</v>
      </c>
    </row>
    <row r="19" customFormat="false" ht="15" hidden="false" customHeight="false" outlineLevel="0" collapsed="false">
      <c r="A19" s="6" t="s">
        <v>28</v>
      </c>
      <c r="B19" s="6" t="n">
        <f aca="false">COUNTIF(events!$C$2:$C$62,A19)</f>
        <v>2</v>
      </c>
      <c r="C19" s="6" t="n">
        <f aca="false">COUNTIFS(events!$C$2:$C$62,A19,events!$D$2:$D$62,"high")+COUNTIFS(events!$C$2:$C$62,A19,events!$D$2:$D$62,"critical")</f>
        <v>2</v>
      </c>
    </row>
    <row r="20" customFormat="false" ht="15" hidden="false" customHeight="false" outlineLevel="0" collapsed="false">
      <c r="A20" s="6" t="s">
        <v>38</v>
      </c>
      <c r="B20" s="6" t="n">
        <f aca="false">COUNTIF(events!$C$2:$C$62,A20)</f>
        <v>57</v>
      </c>
      <c r="C20" s="6" t="n">
        <f aca="false">COUNTIFS(events!$C$2:$C$62,A20,events!$D$2:$D$62,"high")+COUNTIFS(events!$C$2:$C$62,A20,events!$D$2:$D$62,"critical")</f>
        <v>17</v>
      </c>
    </row>
    <row r="21" customFormat="false" ht="15" hidden="false" customHeight="false" outlineLevel="0" collapsed="false">
      <c r="A21" s="7" t="s">
        <v>201</v>
      </c>
      <c r="B21" s="6" t="n">
        <f aca="false">SUM(B18:B20)</f>
        <v>61</v>
      </c>
      <c r="C21" s="6" t="n">
        <f aca="false">SUM(C18:C20)</f>
        <v>21</v>
      </c>
    </row>
    <row r="22" customFormat="false" ht="15" hidden="false" customHeight="false" outlineLevel="0" collapsed="false">
      <c r="A22" s="6"/>
      <c r="B22" s="6"/>
      <c r="C22" s="6"/>
    </row>
    <row r="23" customFormat="false" ht="15" hidden="false" customHeight="false" outlineLevel="0" collapsed="false">
      <c r="A23" s="6"/>
      <c r="B23" s="6"/>
      <c r="C23" s="6"/>
    </row>
    <row r="24" customFormat="false" ht="15" hidden="false" customHeight="false" outlineLevel="0" collapsed="false">
      <c r="A24" s="8" t="s">
        <v>205</v>
      </c>
      <c r="B24" s="6"/>
      <c r="C24" s="6"/>
    </row>
    <row r="25" customFormat="false" ht="15" hidden="false" customHeight="false" outlineLevel="0" collapsed="false">
      <c r="A25" s="6" t="s">
        <v>206</v>
      </c>
      <c r="B25" s="6"/>
      <c r="C25" s="6"/>
    </row>
    <row r="26" customFormat="false" ht="15" hidden="false" customHeight="false" outlineLevel="0" collapsed="false">
      <c r="A26" s="6" t="s">
        <v>207</v>
      </c>
      <c r="B26" s="6"/>
      <c r="C26" s="6"/>
    </row>
    <row r="27" customFormat="false" ht="15" hidden="false" customHeight="false" outlineLevel="0" collapsed="false">
      <c r="A27" s="6" t="s">
        <v>208</v>
      </c>
      <c r="B27" s="6"/>
      <c r="C27" s="6"/>
    </row>
    <row r="28" customFormat="false" ht="15" hidden="false" customHeight="false" outlineLevel="0" collapsed="false">
      <c r="A28" s="6" t="s">
        <v>209</v>
      </c>
      <c r="B28" s="6"/>
      <c r="C28" s="6"/>
    </row>
    <row r="29" customFormat="false" ht="15" hidden="false" customHeight="false" outlineLevel="0" collapsed="false">
      <c r="A29" s="6" t="s">
        <v>210</v>
      </c>
      <c r="B29" s="6"/>
      <c r="C29" s="6"/>
    </row>
    <row r="30" customFormat="false" ht="15" hidden="false" customHeight="false" outlineLevel="0" collapsed="false">
      <c r="A30" s="6" t="s">
        <v>211</v>
      </c>
      <c r="B30" s="6"/>
      <c r="C30" s="6"/>
    </row>
    <row r="31" customFormat="false" ht="15" hidden="false" customHeight="false" outlineLevel="0" collapsed="false">
      <c r="A31" s="6" t="s">
        <v>212</v>
      </c>
      <c r="B31" s="6"/>
      <c r="C31" s="6"/>
    </row>
    <row r="32" customFormat="false" ht="15" hidden="false" customHeight="false" outlineLevel="0" collapsed="false">
      <c r="A32" s="6" t="s">
        <v>213</v>
      </c>
      <c r="B32" s="6"/>
      <c r="C32" s="6"/>
    </row>
    <row r="33" customFormat="false" ht="15" hidden="false" customHeight="false" outlineLevel="0" collapsed="false">
      <c r="A33" s="6" t="s">
        <v>214</v>
      </c>
      <c r="B33" s="6"/>
      <c r="C33" s="6"/>
    </row>
    <row r="34" customFormat="false" ht="15" hidden="false" customHeight="false" outlineLevel="0" collapsed="false">
      <c r="A34" s="6" t="s">
        <v>215</v>
      </c>
      <c r="B34" s="6"/>
      <c r="C34" s="6"/>
    </row>
    <row r="35" customFormat="false" ht="15" hidden="false" customHeight="false" outlineLevel="0" collapsed="false">
      <c r="A35" s="6" t="s">
        <v>216</v>
      </c>
      <c r="B35" s="6"/>
      <c r="C35" s="6"/>
    </row>
    <row r="36" customFormat="false" ht="15" hidden="false" customHeight="false" outlineLevel="0" collapsed="false">
      <c r="A36" s="6" t="s">
        <v>217</v>
      </c>
      <c r="B36" s="6"/>
      <c r="C36" s="6"/>
    </row>
    <row r="37" customFormat="false" ht="15" hidden="false" customHeight="false" outlineLevel="0" collapsed="false">
      <c r="A37" s="6" t="s">
        <v>218</v>
      </c>
      <c r="B37" s="6"/>
      <c r="C37" s="6"/>
    </row>
    <row r="38" customFormat="false" ht="15" hidden="false" customHeight="false" outlineLevel="0" collapsed="false">
      <c r="A38" s="6" t="s">
        <v>219</v>
      </c>
      <c r="B38" s="6"/>
      <c r="C38" s="6"/>
    </row>
    <row r="39" customFormat="false" ht="15" hidden="false" customHeight="false" outlineLevel="0" collapsed="false">
      <c r="A39" s="6" t="s">
        <v>220</v>
      </c>
      <c r="B39" s="6"/>
      <c r="C39" s="6"/>
    </row>
    <row r="40" customFormat="false" ht="15" hidden="false" customHeight="false" outlineLevel="0" collapsed="false">
      <c r="A40" s="6" t="s">
        <v>221</v>
      </c>
      <c r="B40" s="6"/>
      <c r="C40" s="6"/>
    </row>
    <row r="41" customFormat="false" ht="15" hidden="false" customHeight="false" outlineLevel="0" collapsed="false">
      <c r="A41" s="6"/>
      <c r="B41" s="6"/>
      <c r="C41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2026-07-28T11:30:17Z</dcterms:created>
  <dc:creator>openpyxl</dc:creator>
  <dc:description/>
  <dc:language>en-US</dc:language>
  <cp:lastModifiedBy/>
  <dcterms:modified xsi:type="dcterms:W3CDTF">2026-07-28T11:30:17Z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